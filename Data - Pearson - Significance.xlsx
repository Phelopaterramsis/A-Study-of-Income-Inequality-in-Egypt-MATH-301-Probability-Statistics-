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6- SPRING 2023\MATH 301\Project\"/>
    </mc:Choice>
  </mc:AlternateContent>
  <xr:revisionPtr revIDLastSave="0" documentId="13_ncr:1_{384AF149-0094-400C-AE1C-0C0D90FAAA53}" xr6:coauthVersionLast="47" xr6:coauthVersionMax="47" xr10:uidLastSave="{00000000-0000-0000-0000-000000000000}"/>
  <bookViews>
    <workbookView xWindow="7644" yWindow="0" windowWidth="15444" windowHeight="12504" activeTab="1" xr2:uid="{00000000-000D-0000-FFFF-FFFF00000000}"/>
  </bookViews>
  <sheets>
    <sheet name="Income HH-gender-T1-16" sheetId="2" r:id="rId1"/>
    <sheet name="Level of education T-124" sheetId="3" r:id="rId2"/>
    <sheet name="Household Size T-10" sheetId="7" r:id="rId3"/>
  </sheets>
  <definedNames>
    <definedName name="_xlchart.v1.0" hidden="1">'Level of education T-124'!$R$60:$R$66</definedName>
    <definedName name="ExternalData_1" localSheetId="2" hidden="1">'Household Size T-10'!$A$1:$M$26</definedName>
    <definedName name="ExternalData_1" localSheetId="0" hidden="1">'Income HH-gender-T1-16'!$A$1:$P$28</definedName>
    <definedName name="ExternalData_2" localSheetId="0" hidden="1">'Income HH-gender-T1-16'!$A$30:$O$56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5" i="3" l="1"/>
  <c r="D105" i="3"/>
  <c r="E105" i="3"/>
  <c r="F105" i="3"/>
  <c r="G105" i="3"/>
  <c r="H105" i="3"/>
  <c r="G104" i="3"/>
  <c r="H104" i="3"/>
  <c r="C104" i="3"/>
  <c r="D104" i="3"/>
  <c r="E104" i="3"/>
  <c r="F104" i="3"/>
  <c r="B104" i="3"/>
  <c r="B105" i="3" s="1"/>
  <c r="C81" i="2"/>
  <c r="C82" i="2" s="1"/>
  <c r="B82" i="2"/>
  <c r="B81" i="2"/>
  <c r="B74" i="7"/>
  <c r="B75" i="7" s="1"/>
  <c r="B56" i="7"/>
  <c r="C74" i="7"/>
  <c r="D74" i="7"/>
  <c r="E74" i="7"/>
  <c r="F74" i="7"/>
  <c r="G74" i="7"/>
  <c r="H74" i="7"/>
  <c r="H75" i="7" s="1"/>
  <c r="C75" i="7"/>
  <c r="D75" i="7"/>
  <c r="E75" i="7"/>
  <c r="F75" i="7"/>
  <c r="G75" i="7"/>
  <c r="C79" i="2"/>
  <c r="B79" i="2"/>
  <c r="D79" i="2"/>
  <c r="B102" i="3"/>
  <c r="E72" i="7"/>
  <c r="F72" i="7"/>
  <c r="G72" i="7"/>
  <c r="H72" i="7"/>
  <c r="D72" i="7"/>
  <c r="G102" i="3"/>
  <c r="F102" i="3"/>
  <c r="E102" i="3"/>
  <c r="D102" i="3"/>
  <c r="H102" i="3"/>
  <c r="C102" i="3"/>
  <c r="B72" i="7"/>
  <c r="C7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52" i="7"/>
  <c r="B53" i="7"/>
  <c r="B54" i="7"/>
  <c r="B55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52" i="7"/>
  <c r="B71" i="7" s="1"/>
  <c r="I10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81" i="3"/>
  <c r="C10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81" i="3"/>
  <c r="B101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81" i="3"/>
  <c r="B82" i="3"/>
  <c r="F78" i="2"/>
  <c r="H58" i="2"/>
  <c r="G58" i="2"/>
  <c r="F71" i="7" l="1"/>
  <c r="I71" i="7" s="1"/>
  <c r="D71" i="7"/>
  <c r="H71" i="7"/>
  <c r="G71" i="7"/>
  <c r="E71" i="7"/>
  <c r="C71" i="7"/>
  <c r="H101" i="3"/>
  <c r="G101" i="3"/>
  <c r="F101" i="3"/>
  <c r="E101" i="3"/>
  <c r="D101" i="3"/>
  <c r="Q66" i="3"/>
  <c r="Q65" i="3"/>
  <c r="Q64" i="3"/>
  <c r="Q63" i="3"/>
  <c r="Q62" i="3"/>
  <c r="Q61" i="3"/>
  <c r="Q60" i="3"/>
  <c r="S37" i="7"/>
  <c r="S36" i="7"/>
  <c r="S35" i="7"/>
  <c r="S34" i="7"/>
  <c r="S33" i="7"/>
  <c r="S32" i="7"/>
  <c r="S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31" i="7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60" i="3"/>
  <c r="J67" i="3"/>
  <c r="J60" i="3"/>
  <c r="B61" i="3"/>
  <c r="J61" i="3" s="1"/>
  <c r="B62" i="3"/>
  <c r="J62" i="3" s="1"/>
  <c r="B63" i="3"/>
  <c r="J63" i="3" s="1"/>
  <c r="B64" i="3"/>
  <c r="J64" i="3" s="1"/>
  <c r="B65" i="3"/>
  <c r="J65" i="3" s="1"/>
  <c r="B66" i="3"/>
  <c r="J66" i="3" s="1"/>
  <c r="B67" i="3"/>
  <c r="B68" i="3"/>
  <c r="J68" i="3" s="1"/>
  <c r="B69" i="3"/>
  <c r="J69" i="3" s="1"/>
  <c r="B70" i="3"/>
  <c r="J70" i="3" s="1"/>
  <c r="B71" i="3"/>
  <c r="J71" i="3" s="1"/>
  <c r="B72" i="3"/>
  <c r="J72" i="3" s="1"/>
  <c r="B73" i="3"/>
  <c r="J73" i="3" s="1"/>
  <c r="B74" i="3"/>
  <c r="J74" i="3" s="1"/>
  <c r="B75" i="3"/>
  <c r="J75" i="3" s="1"/>
  <c r="B76" i="3"/>
  <c r="J76" i="3" s="1"/>
  <c r="B77" i="3"/>
  <c r="J77" i="3" s="1"/>
  <c r="B78" i="3"/>
  <c r="J78" i="3" s="1"/>
  <c r="B60" i="3"/>
  <c r="B50" i="7" l="1"/>
  <c r="J49" i="7" s="1"/>
  <c r="J31" i="7"/>
  <c r="J79" i="3"/>
  <c r="R66" i="3" s="1"/>
  <c r="B79" i="3"/>
  <c r="C50" i="7"/>
  <c r="K33" i="7" s="1"/>
  <c r="D50" i="7"/>
  <c r="L34" i="7" s="1"/>
  <c r="E50" i="7"/>
  <c r="M32" i="7" s="1"/>
  <c r="F50" i="7"/>
  <c r="N34" i="7" s="1"/>
  <c r="G50" i="7"/>
  <c r="O32" i="7" s="1"/>
  <c r="H50" i="7"/>
  <c r="P34" i="7" s="1"/>
  <c r="J33" i="7"/>
  <c r="P49" i="7" l="1"/>
  <c r="P41" i="7"/>
  <c r="P37" i="7"/>
  <c r="P33" i="7"/>
  <c r="P48" i="7"/>
  <c r="P44" i="7"/>
  <c r="P40" i="7"/>
  <c r="P36" i="7"/>
  <c r="P32" i="7"/>
  <c r="P47" i="7"/>
  <c r="P43" i="7"/>
  <c r="P39" i="7"/>
  <c r="P35" i="7"/>
  <c r="P45" i="7"/>
  <c r="P31" i="7"/>
  <c r="P46" i="7"/>
  <c r="P42" i="7"/>
  <c r="P38" i="7"/>
  <c r="O43" i="7"/>
  <c r="O47" i="7"/>
  <c r="O31" i="7"/>
  <c r="O39" i="7"/>
  <c r="O35" i="7"/>
  <c r="O49" i="7"/>
  <c r="O45" i="7"/>
  <c r="O41" i="7"/>
  <c r="O37" i="7"/>
  <c r="O33" i="7"/>
  <c r="O46" i="7"/>
  <c r="O42" i="7"/>
  <c r="O38" i="7"/>
  <c r="O34" i="7"/>
  <c r="O48" i="7"/>
  <c r="O44" i="7"/>
  <c r="O40" i="7"/>
  <c r="O36" i="7"/>
  <c r="N49" i="7"/>
  <c r="N37" i="7"/>
  <c r="N31" i="7"/>
  <c r="N48" i="7"/>
  <c r="N44" i="7"/>
  <c r="N40" i="7"/>
  <c r="N36" i="7"/>
  <c r="N32" i="7"/>
  <c r="N41" i="7"/>
  <c r="N47" i="7"/>
  <c r="N43" i="7"/>
  <c r="N39" i="7"/>
  <c r="N35" i="7"/>
  <c r="N45" i="7"/>
  <c r="N33" i="7"/>
  <c r="N46" i="7"/>
  <c r="N42" i="7"/>
  <c r="N38" i="7"/>
  <c r="M47" i="7"/>
  <c r="M39" i="7"/>
  <c r="M46" i="7"/>
  <c r="M43" i="7"/>
  <c r="M35" i="7"/>
  <c r="M38" i="7"/>
  <c r="M42" i="7"/>
  <c r="M34" i="7"/>
  <c r="M31" i="7"/>
  <c r="M49" i="7"/>
  <c r="M45" i="7"/>
  <c r="M41" i="7"/>
  <c r="M37" i="7"/>
  <c r="M33" i="7"/>
  <c r="M48" i="7"/>
  <c r="M44" i="7"/>
  <c r="M40" i="7"/>
  <c r="M36" i="7"/>
  <c r="L49" i="7"/>
  <c r="L41" i="7"/>
  <c r="L33" i="7"/>
  <c r="L44" i="7"/>
  <c r="L36" i="7"/>
  <c r="L43" i="7"/>
  <c r="L39" i="7"/>
  <c r="L35" i="7"/>
  <c r="L45" i="7"/>
  <c r="L37" i="7"/>
  <c r="L48" i="7"/>
  <c r="L40" i="7"/>
  <c r="L32" i="7"/>
  <c r="L47" i="7"/>
  <c r="L31" i="7"/>
  <c r="L46" i="7"/>
  <c r="L42" i="7"/>
  <c r="L38" i="7"/>
  <c r="K31" i="7"/>
  <c r="K42" i="7"/>
  <c r="K40" i="7"/>
  <c r="K47" i="7"/>
  <c r="K36" i="7"/>
  <c r="K46" i="7"/>
  <c r="K35" i="7"/>
  <c r="K44" i="7"/>
  <c r="K39" i="7"/>
  <c r="K34" i="7"/>
  <c r="K48" i="7"/>
  <c r="K43" i="7"/>
  <c r="K38" i="7"/>
  <c r="K32" i="7"/>
  <c r="K49" i="7"/>
  <c r="K45" i="7"/>
  <c r="K41" i="7"/>
  <c r="K37" i="7"/>
  <c r="J44" i="7"/>
  <c r="J36" i="7"/>
  <c r="J47" i="7"/>
  <c r="J43" i="7"/>
  <c r="J39" i="7"/>
  <c r="J35" i="7"/>
  <c r="J46" i="7"/>
  <c r="J42" i="7"/>
  <c r="J38" i="7"/>
  <c r="J34" i="7"/>
  <c r="J48" i="7"/>
  <c r="J40" i="7"/>
  <c r="J32" i="7"/>
  <c r="J50" i="7" s="1"/>
  <c r="R37" i="7" s="1"/>
  <c r="T37" i="7" s="1"/>
  <c r="J45" i="7"/>
  <c r="J41" i="7"/>
  <c r="J37" i="7"/>
  <c r="H79" i="3"/>
  <c r="C79" i="3"/>
  <c r="D79" i="3"/>
  <c r="E79" i="3"/>
  <c r="F79" i="3"/>
  <c r="G79" i="3"/>
  <c r="O50" i="7" l="1"/>
  <c r="R32" i="7" s="1"/>
  <c r="T32" i="7" s="1"/>
  <c r="K50" i="7"/>
  <c r="R36" i="7" s="1"/>
  <c r="T36" i="7" s="1"/>
  <c r="L50" i="7"/>
  <c r="R35" i="7" s="1"/>
  <c r="T35" i="7" s="1"/>
  <c r="N50" i="7"/>
  <c r="R33" i="7" s="1"/>
  <c r="T33" i="7" s="1"/>
  <c r="P50" i="7"/>
  <c r="R31" i="7" s="1"/>
  <c r="T31" i="7" s="1"/>
  <c r="M50" i="7"/>
  <c r="R34" i="7" s="1"/>
  <c r="T34" i="7" s="1"/>
  <c r="L60" i="3"/>
  <c r="L63" i="3"/>
  <c r="L74" i="3"/>
  <c r="L77" i="3"/>
  <c r="L61" i="3"/>
  <c r="L76" i="3"/>
  <c r="L75" i="3"/>
  <c r="L70" i="3"/>
  <c r="L72" i="3"/>
  <c r="L73" i="3"/>
  <c r="L78" i="3"/>
  <c r="L64" i="3"/>
  <c r="L71" i="3"/>
  <c r="L68" i="3"/>
  <c r="L66" i="3"/>
  <c r="L69" i="3"/>
  <c r="L67" i="3"/>
  <c r="L62" i="3"/>
  <c r="L65" i="3"/>
  <c r="K69" i="3"/>
  <c r="K64" i="3"/>
  <c r="K73" i="3"/>
  <c r="K71" i="3"/>
  <c r="K65" i="3"/>
  <c r="K74" i="3"/>
  <c r="K75" i="3"/>
  <c r="K76" i="3"/>
  <c r="K61" i="3"/>
  <c r="K67" i="3"/>
  <c r="K70" i="3"/>
  <c r="K68" i="3"/>
  <c r="K77" i="3"/>
  <c r="K62" i="3"/>
  <c r="K72" i="3"/>
  <c r="K60" i="3"/>
  <c r="K63" i="3"/>
  <c r="K66" i="3"/>
  <c r="K78" i="3"/>
  <c r="M60" i="3"/>
  <c r="M66" i="3"/>
  <c r="M77" i="3"/>
  <c r="M61" i="3"/>
  <c r="M64" i="3"/>
  <c r="M70" i="3"/>
  <c r="M71" i="3"/>
  <c r="M65" i="3"/>
  <c r="M63" i="3"/>
  <c r="M68" i="3"/>
  <c r="M78" i="3"/>
  <c r="M62" i="3"/>
  <c r="M73" i="3"/>
  <c r="M76" i="3"/>
  <c r="M74" i="3"/>
  <c r="M69" i="3"/>
  <c r="M75" i="3"/>
  <c r="M72" i="3"/>
  <c r="M67" i="3"/>
  <c r="O77" i="3"/>
  <c r="O72" i="3"/>
  <c r="O73" i="3"/>
  <c r="O67" i="3"/>
  <c r="O69" i="3"/>
  <c r="O66" i="3"/>
  <c r="O76" i="3"/>
  <c r="O70" i="3"/>
  <c r="O65" i="3"/>
  <c r="O68" i="3"/>
  <c r="O60" i="3"/>
  <c r="O63" i="3"/>
  <c r="O78" i="3"/>
  <c r="O62" i="3"/>
  <c r="O61" i="3"/>
  <c r="O64" i="3"/>
  <c r="O75" i="3"/>
  <c r="O74" i="3"/>
  <c r="O71" i="3"/>
  <c r="N63" i="3"/>
  <c r="N74" i="3"/>
  <c r="N62" i="3"/>
  <c r="N70" i="3"/>
  <c r="N66" i="3"/>
  <c r="N78" i="3"/>
  <c r="N69" i="3"/>
  <c r="N64" i="3"/>
  <c r="N67" i="3"/>
  <c r="N65" i="3"/>
  <c r="N76" i="3"/>
  <c r="N60" i="3"/>
  <c r="N68" i="3"/>
  <c r="N71" i="3"/>
  <c r="N77" i="3"/>
  <c r="N61" i="3"/>
  <c r="N72" i="3"/>
  <c r="N75" i="3"/>
  <c r="N73" i="3"/>
  <c r="P64" i="3"/>
  <c r="P75" i="3"/>
  <c r="P70" i="3"/>
  <c r="P69" i="3"/>
  <c r="P68" i="3"/>
  <c r="P74" i="3"/>
  <c r="P71" i="3"/>
  <c r="P72" i="3"/>
  <c r="P66" i="3"/>
  <c r="P76" i="3"/>
  <c r="P65" i="3"/>
  <c r="P60" i="3"/>
  <c r="P67" i="3"/>
  <c r="P78" i="3"/>
  <c r="P62" i="3"/>
  <c r="P77" i="3"/>
  <c r="P61" i="3"/>
  <c r="P63" i="3"/>
  <c r="P73" i="3"/>
  <c r="C59" i="2"/>
  <c r="E59" i="2" s="1"/>
  <c r="E66" i="2"/>
  <c r="E67" i="2"/>
  <c r="E77" i="2"/>
  <c r="C77" i="2"/>
  <c r="C76" i="2"/>
  <c r="E76" i="2" s="1"/>
  <c r="C75" i="2"/>
  <c r="E75" i="2" s="1"/>
  <c r="C74" i="2"/>
  <c r="E74" i="2" s="1"/>
  <c r="C73" i="2"/>
  <c r="E73" i="2" s="1"/>
  <c r="C72" i="2"/>
  <c r="E72" i="2" s="1"/>
  <c r="C71" i="2"/>
  <c r="E71" i="2" s="1"/>
  <c r="C70" i="2"/>
  <c r="E70" i="2" s="1"/>
  <c r="C69" i="2"/>
  <c r="E69" i="2" s="1"/>
  <c r="C68" i="2"/>
  <c r="E68" i="2" s="1"/>
  <c r="C67" i="2"/>
  <c r="C66" i="2"/>
  <c r="C65" i="2"/>
  <c r="E65" i="2" s="1"/>
  <c r="C64" i="2"/>
  <c r="E64" i="2" s="1"/>
  <c r="C63" i="2"/>
  <c r="E63" i="2" s="1"/>
  <c r="C62" i="2"/>
  <c r="E62" i="2" s="1"/>
  <c r="C61" i="2"/>
  <c r="E61" i="2" s="1"/>
  <c r="C60" i="2"/>
  <c r="E60" i="2" s="1"/>
  <c r="B60" i="2"/>
  <c r="D60" i="2" s="1"/>
  <c r="B61" i="2"/>
  <c r="B78" i="2" s="1"/>
  <c r="B62" i="2"/>
  <c r="D62" i="2" s="1"/>
  <c r="B63" i="2"/>
  <c r="D63" i="2" s="1"/>
  <c r="B64" i="2"/>
  <c r="D64" i="2" s="1"/>
  <c r="B65" i="2"/>
  <c r="D65" i="2" s="1"/>
  <c r="B66" i="2"/>
  <c r="D66" i="2" s="1"/>
  <c r="B67" i="2"/>
  <c r="D67" i="2" s="1"/>
  <c r="B68" i="2"/>
  <c r="D68" i="2" s="1"/>
  <c r="B69" i="2"/>
  <c r="D69" i="2" s="1"/>
  <c r="B70" i="2"/>
  <c r="D70" i="2" s="1"/>
  <c r="B71" i="2"/>
  <c r="D71" i="2" s="1"/>
  <c r="B72" i="2"/>
  <c r="D72" i="2" s="1"/>
  <c r="B73" i="2"/>
  <c r="D73" i="2" s="1"/>
  <c r="B74" i="2"/>
  <c r="D74" i="2" s="1"/>
  <c r="B75" i="2"/>
  <c r="D75" i="2" s="1"/>
  <c r="B76" i="2"/>
  <c r="D76" i="2" s="1"/>
  <c r="B77" i="2"/>
  <c r="D77" i="2" s="1"/>
  <c r="B59" i="2"/>
  <c r="D59" i="2" s="1"/>
  <c r="H71" i="2" l="1"/>
  <c r="H63" i="2"/>
  <c r="H65" i="2"/>
  <c r="H73" i="2"/>
  <c r="H62" i="2"/>
  <c r="H60" i="2"/>
  <c r="H75" i="2"/>
  <c r="H74" i="2"/>
  <c r="H76" i="2"/>
  <c r="H69" i="2"/>
  <c r="H67" i="2"/>
  <c r="H66" i="2"/>
  <c r="D61" i="2"/>
  <c r="N79" i="3"/>
  <c r="R62" i="3" s="1"/>
  <c r="E78" i="2"/>
  <c r="H64" i="2" s="1"/>
  <c r="H59" i="2"/>
  <c r="L79" i="3"/>
  <c r="R64" i="3" s="1"/>
  <c r="P79" i="3"/>
  <c r="R60" i="3" s="1"/>
  <c r="O79" i="3"/>
  <c r="R61" i="3" s="1"/>
  <c r="M79" i="3"/>
  <c r="R63" i="3" s="1"/>
  <c r="K79" i="3"/>
  <c r="R65" i="3" s="1"/>
  <c r="C78" i="2"/>
  <c r="H72" i="2" l="1"/>
  <c r="H68" i="2"/>
  <c r="H70" i="2"/>
  <c r="D78" i="2"/>
  <c r="H61" i="2"/>
  <c r="H78" i="2" s="1"/>
  <c r="H77" i="2"/>
  <c r="G60" i="2" l="1"/>
  <c r="G75" i="2"/>
  <c r="G63" i="2"/>
  <c r="G59" i="2"/>
  <c r="G71" i="2"/>
  <c r="G65" i="2"/>
  <c r="G68" i="2"/>
  <c r="G72" i="2"/>
  <c r="G70" i="2"/>
  <c r="G76" i="2"/>
  <c r="G77" i="2"/>
  <c r="G69" i="2"/>
  <c r="G64" i="2"/>
  <c r="G74" i="2"/>
  <c r="G73" i="2"/>
  <c r="G62" i="2"/>
  <c r="G67" i="2"/>
  <c r="G66" i="2"/>
  <c r="G61" i="2"/>
  <c r="G78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011 (Page 26)" description="Connection to the 'Table011 (Page 26)' query in the workbook." type="5" refreshedVersion="8" background="1" saveData="1">
    <dbPr connection="Provider=Microsoft.Mashup.OleDb.1;Data Source=$Workbook$;Location=&quot;Table011 (Page 26)&quot;;Extended Properties=&quot;&quot;" command="SELECT * FROM [Table011 (Page 26)]"/>
  </connection>
  <connection id="2" xr16:uid="{00000000-0015-0000-FFFF-FFFF01000000}" keepAlive="1" name="Query - Table017 (Page 32)" description="Connection to the 'Table017 (Page 32)' query in the workbook." type="5" refreshedVersion="8" background="1" saveData="1">
    <dbPr connection="Provider=Microsoft.Mashup.OleDb.1;Data Source=$Workbook$;Location=&quot;Table017 (Page 32)&quot;;Extended Properties=&quot;&quot;" command="SELECT * FROM [Table017 (Page 32)]"/>
  </connection>
  <connection id="3" xr16:uid="{00000000-0015-0000-FFFF-FFFF02000000}" keepAlive="1" name="Query - Table018 (Page 33)" description="Connection to the 'Table018 (Page 33)' query in the workbook." type="5" refreshedVersion="8" background="1" saveData="1">
    <dbPr connection="Provider=Microsoft.Mashup.OleDb.1;Data Source=$Workbook$;Location=&quot;Table018 (Page 33)&quot;;Extended Properties=&quot;&quot;" command="SELECT * FROM [Table018 (Page 33)]"/>
  </connection>
  <connection id="4" xr16:uid="{00000000-0015-0000-FFFF-FFFF03000000}" keepAlive="1" name="Query - Table027 (Page 42)" description="Connection to the 'Table027 (Page 42)' query in the workbook." type="5" refreshedVersion="0" background="1">
    <dbPr connection="Provider=Microsoft.Mashup.OleDb.1;Data Source=$Workbook$;Location=&quot;Table027 (Page 42)&quot;;Extended Properties=&quot;&quot;" command="SELECT * FROM [Table027 (Page 42)]"/>
  </connection>
  <connection id="5" xr16:uid="{00000000-0015-0000-FFFF-FFFF04000000}" keepAlive="1" name="Query - Table028 (Page 43)" description="Connection to the 'Table028 (Page 43)' query in the workbook." type="5" refreshedVersion="0" background="1">
    <dbPr connection="Provider=Microsoft.Mashup.OleDb.1;Data Source=$Workbook$;Location=&quot;Table028 (Page 43)&quot;;Extended Properties=&quot;&quot;" command="SELECT * FROM [Table028 (Page 43)]"/>
  </connection>
</connections>
</file>

<file path=xl/sharedStrings.xml><?xml version="1.0" encoding="utf-8"?>
<sst xmlns="http://schemas.openxmlformats.org/spreadsheetml/2006/main" count="1376" uniqueCount="336">
  <si>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</si>
  <si>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</si>
  <si>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</si>
  <si>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</si>
  <si>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</si>
  <si>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</si>
  <si>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</si>
  <si>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</si>
  <si>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</si>
  <si>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</si>
  <si>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</si>
  <si>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</si>
  <si>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</si>
  <si>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</si>
  <si>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</si>
  <si>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</si>
  <si>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a - Male H.H. Head</t>
  </si>
  <si>
    <t>Age Groups of H.H. Head</t>
  </si>
  <si>
    <t>Groups of Annual
Household Income
&lt;10.000</t>
  </si>
  <si>
    <t>Total</t>
  </si>
  <si>
    <t>65+</t>
  </si>
  <si>
    <t>60-</t>
  </si>
  <si>
    <t>55-</t>
  </si>
  <si>
    <t>50-</t>
  </si>
  <si>
    <t>45-</t>
  </si>
  <si>
    <t>40-</t>
  </si>
  <si>
    <t>35-</t>
  </si>
  <si>
    <t>30-</t>
  </si>
  <si>
    <t>25-</t>
  </si>
  <si>
    <t>20-</t>
  </si>
  <si>
    <t>0.0</t>
  </si>
  <si>
    <t>0.1</t>
  </si>
  <si>
    <t>10.000-</t>
  </si>
  <si>
    <t>0.6</t>
  </si>
  <si>
    <t>2.2</t>
  </si>
  <si>
    <t>1.1</t>
  </si>
  <si>
    <t>0.3</t>
  </si>
  <si>
    <t>0.4</t>
  </si>
  <si>
    <t>2.9</t>
  </si>
  <si>
    <t>20.000-</t>
  </si>
  <si>
    <t>1.3</t>
  </si>
  <si>
    <t>3.6</t>
  </si>
  <si>
    <t>1.8</t>
  </si>
  <si>
    <t>1.2</t>
  </si>
  <si>
    <t>0.5</t>
  </si>
  <si>
    <t>0.7</t>
  </si>
  <si>
    <t>1.0</t>
  </si>
  <si>
    <t>1.9</t>
  </si>
  <si>
    <t>25.000-</t>
  </si>
  <si>
    <t>5.5</t>
  </si>
  <si>
    <t>4.0</t>
  </si>
  <si>
    <t>2.1</t>
  </si>
  <si>
    <t>0.9</t>
  </si>
  <si>
    <t>4.2</t>
  </si>
  <si>
    <t>4.7</t>
  </si>
  <si>
    <t>5.3</t>
  </si>
  <si>
    <t>7.6</t>
  </si>
  <si>
    <t>30.000-</t>
  </si>
  <si>
    <t>5.0</t>
  </si>
  <si>
    <t>7.9</t>
  </si>
  <si>
    <t>5.9</t>
  </si>
  <si>
    <t>4.1</t>
  </si>
  <si>
    <t>2.7</t>
  </si>
  <si>
    <t>2.5</t>
  </si>
  <si>
    <t>3.0</t>
  </si>
  <si>
    <t>6.2</t>
  </si>
  <si>
    <t>8.8</t>
  </si>
  <si>
    <t>10.5</t>
  </si>
  <si>
    <t>2.3</t>
  </si>
  <si>
    <t>35.000-</t>
  </si>
  <si>
    <t>7.3</t>
  </si>
  <si>
    <t>8.1</t>
  </si>
  <si>
    <t>7.0</t>
  </si>
  <si>
    <t>5.8</t>
  </si>
  <si>
    <t>6.1</t>
  </si>
  <si>
    <t>8.2</t>
  </si>
  <si>
    <t>10.0</t>
  </si>
  <si>
    <t>11.1</t>
  </si>
  <si>
    <t>13.1</t>
  </si>
  <si>
    <t>7.2</t>
  </si>
  <si>
    <t>40.000-</t>
  </si>
  <si>
    <t>8.6</t>
  </si>
  <si>
    <t>6.5</t>
  </si>
  <si>
    <t>4.3</t>
  </si>
  <si>
    <t>8.9</t>
  </si>
  <si>
    <t>12.0</t>
  </si>
  <si>
    <t>15.2</t>
  </si>
  <si>
    <t>14.8</t>
  </si>
  <si>
    <t>30.8</t>
  </si>
  <si>
    <t>45.000-</t>
  </si>
  <si>
    <t>5.7</t>
  </si>
  <si>
    <t>5.6</t>
  </si>
  <si>
    <t>6.7</t>
  </si>
  <si>
    <t>9.5</t>
  </si>
  <si>
    <t>10.6</t>
  </si>
  <si>
    <t>11.5</t>
  </si>
  <si>
    <t>12.5</t>
  </si>
  <si>
    <t>13.3</t>
  </si>
  <si>
    <t>50.000-</t>
  </si>
  <si>
    <t>6.8</t>
  </si>
  <si>
    <t>6.9</t>
  </si>
  <si>
    <t>8.4</t>
  </si>
  <si>
    <t>8.5</t>
  </si>
  <si>
    <t>11.4</t>
  </si>
  <si>
    <t>11.6</t>
  </si>
  <si>
    <t>14.6</t>
  </si>
  <si>
    <t>55.000-</t>
  </si>
  <si>
    <t>6.0</t>
  </si>
  <si>
    <t>9.0</t>
  </si>
  <si>
    <t>10.1</t>
  </si>
  <si>
    <t>21.9</t>
  </si>
  <si>
    <t>60.000-</t>
  </si>
  <si>
    <t>7.8</t>
  </si>
  <si>
    <t>8.3</t>
  </si>
  <si>
    <t>4.8</t>
  </si>
  <si>
    <t>2.6</t>
  </si>
  <si>
    <t>65.000-</t>
  </si>
  <si>
    <t>6.6</t>
  </si>
  <si>
    <t>6.4</t>
  </si>
  <si>
    <t>7.5</t>
  </si>
  <si>
    <t>7.4</t>
  </si>
  <si>
    <t>2.0</t>
  </si>
  <si>
    <t>70.000-</t>
  </si>
  <si>
    <t>9.4</t>
  </si>
  <si>
    <t>7.1</t>
  </si>
  <si>
    <t>9.9</t>
  </si>
  <si>
    <t>11.0</t>
  </si>
  <si>
    <t>12.6</t>
  </si>
  <si>
    <t>11.3</t>
  </si>
  <si>
    <t>9.6</t>
  </si>
  <si>
    <t>4.9</t>
  </si>
  <si>
    <t>80.000-</t>
  </si>
  <si>
    <t>10.3</t>
  </si>
  <si>
    <t>3.5</t>
  </si>
  <si>
    <t>8.7</t>
  </si>
  <si>
    <t>90.000-</t>
  </si>
  <si>
    <t>6.3</t>
  </si>
  <si>
    <t>4.4</t>
  </si>
  <si>
    <t>1.7</t>
  </si>
  <si>
    <t>100.000-</t>
  </si>
  <si>
    <t>3.4</t>
  </si>
  <si>
    <t>2.4</t>
  </si>
  <si>
    <t>120.000-</t>
  </si>
  <si>
    <t>3.9</t>
  </si>
  <si>
    <t>4.5</t>
  </si>
  <si>
    <t>4.6</t>
  </si>
  <si>
    <t>0.8</t>
  </si>
  <si>
    <t>1.5</t>
  </si>
  <si>
    <t>150.000-</t>
  </si>
  <si>
    <t>3.3</t>
  </si>
  <si>
    <t>3.2</t>
  </si>
  <si>
    <t>3.8</t>
  </si>
  <si>
    <t>200.000+</t>
  </si>
  <si>
    <t>3.1</t>
  </si>
  <si>
    <t>2.8</t>
  </si>
  <si>
    <t>100</t>
  </si>
  <si>
    <t>18139</t>
  </si>
  <si>
    <t>1985</t>
  </si>
  <si>
    <t>1336</t>
  </si>
  <si>
    <t>1687</t>
  </si>
  <si>
    <t>1986</t>
  </si>
  <si>
    <t>2037</t>
  </si>
  <si>
    <t>2237</t>
  </si>
  <si>
    <t>2611</t>
  </si>
  <si>
    <t>2535</t>
  </si>
  <si>
    <t>1382</t>
  </si>
  <si>
    <t>325</t>
  </si>
  <si>
    <t>17</t>
  </si>
  <si>
    <t>No. of H.H. Members</t>
  </si>
  <si>
    <t>78974</t>
  </si>
  <si>
    <t>5795</t>
  </si>
  <si>
    <t>4576</t>
  </si>
  <si>
    <t>6870</t>
  </si>
  <si>
    <t>9475</t>
  </si>
  <si>
    <t>10577</t>
  </si>
  <si>
    <t>11687</t>
  </si>
  <si>
    <t>12749</t>
  </si>
  <si>
    <t>10973</t>
  </si>
  <si>
    <t>5150</t>
  </si>
  <si>
    <t>1082</t>
  </si>
  <si>
    <t>39</t>
  </si>
  <si>
    <t>b - Female H.H. Head</t>
  </si>
  <si>
    <t>0.2</t>
  </si>
  <si>
    <t>1.4</t>
  </si>
  <si>
    <t>16.1</t>
  </si>
  <si>
    <t>9.2</t>
  </si>
  <si>
    <t>9.7</t>
  </si>
  <si>
    <t>13.0</t>
  </si>
  <si>
    <t>12.2</t>
  </si>
  <si>
    <t>15.6</t>
  </si>
  <si>
    <t>18.0</t>
  </si>
  <si>
    <t>8.0</t>
  </si>
  <si>
    <t>15.9</t>
  </si>
  <si>
    <t>17.9</t>
  </si>
  <si>
    <t>5.4</t>
  </si>
  <si>
    <t>11.7</t>
  </si>
  <si>
    <t>12.1</t>
  </si>
  <si>
    <t>10.2</t>
  </si>
  <si>
    <t>17.0</t>
  </si>
  <si>
    <t>14.3</t>
  </si>
  <si>
    <t>10.7</t>
  </si>
  <si>
    <t>12.9</t>
  </si>
  <si>
    <t>9.1</t>
  </si>
  <si>
    <t>3.7</t>
  </si>
  <si>
    <t>7.7</t>
  </si>
  <si>
    <t>5.2</t>
  </si>
  <si>
    <t>5.1</t>
  </si>
  <si>
    <t>1.6</t>
  </si>
  <si>
    <t>4031</t>
  </si>
  <si>
    <t>1123</t>
  </si>
  <si>
    <t>523</t>
  </si>
  <si>
    <t>504</t>
  </si>
  <si>
    <t>435</t>
  </si>
  <si>
    <t>315</t>
  </si>
  <si>
    <t>281</t>
  </si>
  <si>
    <t>238</t>
  </si>
  <si>
    <t>236</t>
  </si>
  <si>
    <t>196</t>
  </si>
  <si>
    <t>146</t>
  </si>
  <si>
    <t>34</t>
  </si>
  <si>
    <t>10806</t>
  </si>
  <si>
    <t>2117</t>
  </si>
  <si>
    <t>1103</t>
  </si>
  <si>
    <t>1177</t>
  </si>
  <si>
    <t>1263</t>
  </si>
  <si>
    <t>1014</t>
  </si>
  <si>
    <t>1088</t>
  </si>
  <si>
    <t>970</t>
  </si>
  <si>
    <t>932</t>
  </si>
  <si>
    <t>675</t>
  </si>
  <si>
    <t>399</t>
  </si>
  <si>
    <t>70</t>
  </si>
  <si>
    <t>&lt;10.000</t>
  </si>
  <si>
    <t>No. of H.H.</t>
  </si>
  <si>
    <t>Income</t>
  </si>
  <si>
    <t>M HH number</t>
  </si>
  <si>
    <t>F  HH number</t>
  </si>
  <si>
    <t>M  HH percentage</t>
  </si>
  <si>
    <t>F  HH percentage</t>
  </si>
  <si>
    <t>Educational Status of H.H. Head</t>
  </si>
  <si>
    <t>Groups of Annual Household</t>
  </si>
  <si>
    <t>Intermediate</t>
  </si>
  <si>
    <t>Illiterate</t>
  </si>
  <si>
    <t>10.8</t>
  </si>
  <si>
    <t>9.8</t>
  </si>
  <si>
    <t>10.4</t>
  </si>
  <si>
    <t>3200</t>
  </si>
  <si>
    <t>788</t>
  </si>
  <si>
    <t>5925</t>
  </si>
  <si>
    <t>2718</t>
  </si>
  <si>
    <t>371</t>
  </si>
  <si>
    <t>1860</t>
  </si>
  <si>
    <t>3277</t>
  </si>
  <si>
    <t>13437</t>
  </si>
  <si>
    <t>3438</t>
  </si>
  <si>
    <t>26915</t>
  </si>
  <si>
    <t>11971</t>
  </si>
  <si>
    <t>1665</t>
  </si>
  <si>
    <t>7759</t>
  </si>
  <si>
    <t>13790</t>
  </si>
  <si>
    <t>University and over</t>
  </si>
  <si>
    <t>10.9</t>
  </si>
  <si>
    <t>12.3</t>
  </si>
  <si>
    <t>13.2</t>
  </si>
  <si>
    <t>9.3</t>
  </si>
  <si>
    <t>409</t>
  </si>
  <si>
    <t>91</t>
  </si>
  <si>
    <t>769</t>
  </si>
  <si>
    <t>475</t>
  </si>
  <si>
    <t>36</t>
  </si>
  <si>
    <t>350</t>
  </si>
  <si>
    <t>1902</t>
  </si>
  <si>
    <t>1168</t>
  </si>
  <si>
    <t>252</t>
  </si>
  <si>
    <t>2377</t>
  </si>
  <si>
    <t>1451</t>
  </si>
  <si>
    <t>115</t>
  </si>
  <si>
    <t>885</t>
  </si>
  <si>
    <t>4558</t>
  </si>
  <si>
    <t>Groups of Annual Household Income</t>
  </si>
  <si>
    <t>Above Intermediate &amp; less than University</t>
  </si>
  <si>
    <t>Literacy Certificate</t>
  </si>
  <si>
    <t>Read and write</t>
  </si>
  <si>
    <t>Below Intermediate</t>
  </si>
  <si>
    <t>Household Size</t>
  </si>
  <si>
    <t>5 Persons</t>
  </si>
  <si>
    <t>4 Persons</t>
  </si>
  <si>
    <t>3 Persons</t>
  </si>
  <si>
    <t>2 Persons</t>
  </si>
  <si>
    <t>1 Person</t>
  </si>
  <si>
    <t>18.3</t>
  </si>
  <si>
    <t>15.4</t>
  </si>
  <si>
    <t>11.8</t>
  </si>
  <si>
    <t>12.7</t>
  </si>
  <si>
    <t>13.4</t>
  </si>
  <si>
    <t>22170</t>
  </si>
  <si>
    <t>562</t>
  </si>
  <si>
    <t>3566</t>
  </si>
  <si>
    <t>4915</t>
  </si>
  <si>
    <t>4970</t>
  </si>
  <si>
    <t>3447</t>
  </si>
  <si>
    <t>3006</t>
  </si>
  <si>
    <t>1705</t>
  </si>
  <si>
    <t>89779</t>
  </si>
  <si>
    <t>4840</t>
  </si>
  <si>
    <t>22429</t>
  </si>
  <si>
    <t>24573</t>
  </si>
  <si>
    <t>19879</t>
  </si>
  <si>
    <t>10341</t>
  </si>
  <si>
    <t>6011</t>
  </si>
  <si>
    <t>6-7 persons</t>
  </si>
  <si>
    <t>8 or more persons</t>
  </si>
  <si>
    <t>Less than 20</t>
  </si>
  <si>
    <t>income avg</t>
  </si>
  <si>
    <t xml:space="preserve">Illiterate weight </t>
  </si>
  <si>
    <t>Read and write weight</t>
  </si>
  <si>
    <t>Literacy Certificate weight</t>
  </si>
  <si>
    <t>Below Intermediate weight</t>
  </si>
  <si>
    <t>Intermediate weight</t>
  </si>
  <si>
    <t>Above Intermediate &amp; less than University weight</t>
  </si>
  <si>
    <t>University and over weight</t>
  </si>
  <si>
    <t>Illiterate avg</t>
  </si>
  <si>
    <t>Read and write avg</t>
  </si>
  <si>
    <t>Literacy Certificate avg</t>
  </si>
  <si>
    <t>Below Intermediate avg</t>
  </si>
  <si>
    <t>Intermediate avg</t>
  </si>
  <si>
    <t>Above Intermediate &amp; less than University avg</t>
  </si>
  <si>
    <t>University and over avg</t>
  </si>
  <si>
    <t>income weighted average</t>
  </si>
  <si>
    <t>income</t>
  </si>
  <si>
    <t>classification</t>
  </si>
  <si>
    <t>Level of education</t>
  </si>
  <si>
    <t>sum</t>
  </si>
  <si>
    <t>Pearson</t>
  </si>
  <si>
    <t>T-Score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</si>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</sst>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Alignment="1">
      <alignment wrapText="1"/>
    </xf>
    <xf numFmtId="0" fontId="0" fillId="0" borderId="1" xfId="0" applyBorder="1"/>
    <xf numFmtId="0" fontId="2" fillId="0" borderId="3" xfId="0" applyFont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2" xfId="0" applyBorder="1"/>
    <xf numFmtId="0" fontId="0" fillId="3" borderId="2" xfId="0" applyFill="1" applyBorder="1"/>
    <xf numFmtId="14" fontId="0" fillId="0" borderId="0" xfId="0" applyNumberFormat="1"/>
    <xf numFmtId="0" fontId="2" fillId="0" borderId="5" xfId="0" applyFont="1" applyBorder="1" applyAlignment="1">
      <alignment horizontal="center" vertical="center"/>
    </xf>
    <xf numFmtId="14" fontId="0" fillId="0" borderId="2" xfId="0" applyNumberFormat="1" applyBorder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2" xfId="0" applyNumberFormat="1" applyBorder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 vertical="center"/>
    </xf>
    <xf numFmtId="1" fontId="0" fillId="4" borderId="0" xfId="0" applyNumberFormat="1" applyFill="1"/>
    <xf numFmtId="1" fontId="0" fillId="0" borderId="0" xfId="0" applyNumberFormat="1" applyAlignment="1">
      <alignment horizontal="center" vertical="center"/>
    </xf>
    <xf numFmtId="165" fontId="0" fillId="0" borderId="0" xfId="0" applyNumberFormat="1"/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" fontId="0" fillId="0" borderId="2" xfId="0" applyNumberFormat="1" applyBorder="1"/>
    <xf numFmtId="1" fontId="0" fillId="3" borderId="2" xfId="0" applyNumberFormat="1" applyFill="1" applyBorder="1"/>
  </cellXfs>
  <cellStyles count="1"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House holders M</a:t>
            </a:r>
            <a:r>
              <a:rPr lang="en-US" baseline="0"/>
              <a:t> and F Vs Income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HH-gender-T1-16'!$G$58</c:f>
              <c:strCache>
                <c:ptCount val="1"/>
                <c:pt idx="0">
                  <c:v>M  HH 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'Income HH-gender-T1-16'!$F$59:$F$77</c:f>
              <c:numCache>
                <c:formatCode>General</c:formatCode>
                <c:ptCount val="19"/>
                <c:pt idx="0">
                  <c:v>5000</c:v>
                </c:pt>
                <c:pt idx="1">
                  <c:v>15000</c:v>
                </c:pt>
                <c:pt idx="2">
                  <c:v>22500</c:v>
                </c:pt>
                <c:pt idx="3">
                  <c:v>27500</c:v>
                </c:pt>
                <c:pt idx="4">
                  <c:v>32500</c:v>
                </c:pt>
                <c:pt idx="5">
                  <c:v>37500</c:v>
                </c:pt>
                <c:pt idx="6">
                  <c:v>42500</c:v>
                </c:pt>
                <c:pt idx="7">
                  <c:v>47500</c:v>
                </c:pt>
                <c:pt idx="8">
                  <c:v>52500</c:v>
                </c:pt>
                <c:pt idx="9">
                  <c:v>57500</c:v>
                </c:pt>
                <c:pt idx="10">
                  <c:v>62500</c:v>
                </c:pt>
                <c:pt idx="11">
                  <c:v>67500</c:v>
                </c:pt>
                <c:pt idx="12">
                  <c:v>75000</c:v>
                </c:pt>
                <c:pt idx="13">
                  <c:v>85000</c:v>
                </c:pt>
                <c:pt idx="14">
                  <c:v>95000</c:v>
                </c:pt>
                <c:pt idx="15">
                  <c:v>110000</c:v>
                </c:pt>
                <c:pt idx="16">
                  <c:v>130000</c:v>
                </c:pt>
                <c:pt idx="17">
                  <c:v>175000</c:v>
                </c:pt>
                <c:pt idx="18">
                  <c:v>300000</c:v>
                </c:pt>
              </c:numCache>
            </c:numRef>
          </c:cat>
          <c:val>
            <c:numRef>
              <c:f>'Income HH-gender-T1-16'!$G$59:$G$77</c:f>
              <c:numCache>
                <c:formatCode>General</c:formatCode>
                <c:ptCount val="19"/>
                <c:pt idx="0">
                  <c:v>3.995945039623009E-4</c:v>
                </c:pt>
                <c:pt idx="1">
                  <c:v>6.398420815757427E-3</c:v>
                </c:pt>
                <c:pt idx="2">
                  <c:v>1.3248115921565858E-2</c:v>
                </c:pt>
                <c:pt idx="3">
                  <c:v>2.9029092906687374E-2</c:v>
                </c:pt>
                <c:pt idx="4">
                  <c:v>5.032750754513847E-2</c:v>
                </c:pt>
                <c:pt idx="5">
                  <c:v>7.2710370373638783E-2</c:v>
                </c:pt>
                <c:pt idx="6">
                  <c:v>8.6166639457103025E-2</c:v>
                </c:pt>
                <c:pt idx="7">
                  <c:v>8.5694461603628744E-2</c:v>
                </c:pt>
                <c:pt idx="8">
                  <c:v>8.9199421098148587E-2</c:v>
                </c:pt>
                <c:pt idx="9">
                  <c:v>8.5738750683916065E-2</c:v>
                </c:pt>
                <c:pt idx="10">
                  <c:v>6.8082795760602929E-2</c:v>
                </c:pt>
                <c:pt idx="11">
                  <c:v>6.5706408072856923E-2</c:v>
                </c:pt>
                <c:pt idx="12">
                  <c:v>9.381894315113222E-2</c:v>
                </c:pt>
                <c:pt idx="13">
                  <c:v>6.4426326797154918E-2</c:v>
                </c:pt>
                <c:pt idx="14">
                  <c:v>4.6803740358989751E-2</c:v>
                </c:pt>
                <c:pt idx="15">
                  <c:v>5.8050188407843414E-2</c:v>
                </c:pt>
                <c:pt idx="16">
                  <c:v>3.8585054889779202E-2</c:v>
                </c:pt>
                <c:pt idx="17">
                  <c:v>2.4588988510210207E-2</c:v>
                </c:pt>
                <c:pt idx="18">
                  <c:v>2.1025179141883898E-2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9-47C5-A4B7-8A1E06C5483A}"/>
            </c:ext>
          </c:extLst>
        </c:ser>
        <c:ser>
          <c:idx val="1"/>
          <c:order val="1"/>
          <c:tx>
            <c:strRef>
              <c:f>'Income HH-gender-T1-16'!$H$58</c:f>
              <c:strCache>
                <c:ptCount val="1"/>
                <c:pt idx="0">
                  <c:v>F  HH percentage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'Income HH-gender-T1-16'!$F$59:$F$77</c:f>
              <c:numCache>
                <c:formatCode>General</c:formatCode>
                <c:ptCount val="19"/>
                <c:pt idx="0">
                  <c:v>5000</c:v>
                </c:pt>
                <c:pt idx="1">
                  <c:v>15000</c:v>
                </c:pt>
                <c:pt idx="2">
                  <c:v>22500</c:v>
                </c:pt>
                <c:pt idx="3">
                  <c:v>27500</c:v>
                </c:pt>
                <c:pt idx="4">
                  <c:v>32500</c:v>
                </c:pt>
                <c:pt idx="5">
                  <c:v>37500</c:v>
                </c:pt>
                <c:pt idx="6">
                  <c:v>42500</c:v>
                </c:pt>
                <c:pt idx="7">
                  <c:v>47500</c:v>
                </c:pt>
                <c:pt idx="8">
                  <c:v>52500</c:v>
                </c:pt>
                <c:pt idx="9">
                  <c:v>57500</c:v>
                </c:pt>
                <c:pt idx="10">
                  <c:v>62500</c:v>
                </c:pt>
                <c:pt idx="11">
                  <c:v>67500</c:v>
                </c:pt>
                <c:pt idx="12">
                  <c:v>75000</c:v>
                </c:pt>
                <c:pt idx="13">
                  <c:v>85000</c:v>
                </c:pt>
                <c:pt idx="14">
                  <c:v>95000</c:v>
                </c:pt>
                <c:pt idx="15">
                  <c:v>110000</c:v>
                </c:pt>
                <c:pt idx="16">
                  <c:v>130000</c:v>
                </c:pt>
                <c:pt idx="17">
                  <c:v>175000</c:v>
                </c:pt>
                <c:pt idx="18">
                  <c:v>300000</c:v>
                </c:pt>
              </c:numCache>
            </c:numRef>
          </c:cat>
          <c:val>
            <c:numRef>
              <c:f>'Income HH-gender-T1-16'!$H$59:$H$77</c:f>
              <c:numCache>
                <c:formatCode>General</c:formatCode>
                <c:ptCount val="19"/>
                <c:pt idx="0">
                  <c:v>4.4327708005208475E-3</c:v>
                </c:pt>
                <c:pt idx="1">
                  <c:v>8.13058329052051E-2</c:v>
                </c:pt>
                <c:pt idx="2">
                  <c:v>7.510630438789484E-2</c:v>
                </c:pt>
                <c:pt idx="3">
                  <c:v>8.622506985043582E-2</c:v>
                </c:pt>
                <c:pt idx="4">
                  <c:v>8.1050320345770491E-2</c:v>
                </c:pt>
                <c:pt idx="5">
                  <c:v>8.6622974845904796E-2</c:v>
                </c:pt>
                <c:pt idx="6">
                  <c:v>8.2324906297590747E-2</c:v>
                </c:pt>
                <c:pt idx="7">
                  <c:v>7.4601481030177025E-2</c:v>
                </c:pt>
                <c:pt idx="8">
                  <c:v>6.1627396701605726E-2</c:v>
                </c:pt>
                <c:pt idx="9">
                  <c:v>6.1455980023383115E-2</c:v>
                </c:pt>
                <c:pt idx="10">
                  <c:v>4.3778480037647165E-2</c:v>
                </c:pt>
                <c:pt idx="11">
                  <c:v>3.888405013702171E-2</c:v>
                </c:pt>
                <c:pt idx="12">
                  <c:v>6.1167970235515595E-2</c:v>
                </c:pt>
                <c:pt idx="13">
                  <c:v>4.2473381420962394E-2</c:v>
                </c:pt>
                <c:pt idx="14">
                  <c:v>2.9563299267472771E-2</c:v>
                </c:pt>
                <c:pt idx="15">
                  <c:v>3.6310567329668003E-2</c:v>
                </c:pt>
                <c:pt idx="16">
                  <c:v>2.6891580563482086E-2</c:v>
                </c:pt>
                <c:pt idx="17">
                  <c:v>1.1924498271321091E-2</c:v>
                </c:pt>
                <c:pt idx="18">
                  <c:v>1.4253135548420498E-2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39-47C5-A4B7-8A1E06C54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207216"/>
        <c:axId val="2047201392"/>
      </c:barChart>
      <c:catAx>
        <c:axId val="204720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201392"/>
        <c:crosses val="autoZero"/>
        <c:auto val="1"/>
        <c:lblAlgn val="ctr"/>
        <c:lblOffset val="100"/>
        <c:noMultiLvlLbl val="0"/>
      </c:catAx>
      <c:valAx>
        <c:axId val="204720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20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VS Level of education</a:t>
            </a:r>
          </a:p>
        </c:rich>
      </c:tx>
      <c:layout>
        <c:manualLayout>
          <c:xMode val="edge"/>
          <c:yMode val="edge"/>
          <c:x val="0.3106523691117557"/>
          <c:y val="2.5157232704402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'Level of education T-124'!$Q$60:$Q$66</c:f>
              <c:strCache>
                <c:ptCount val="7"/>
                <c:pt idx="0">
                  <c:v>Illiterate avg</c:v>
                </c:pt>
                <c:pt idx="1">
                  <c:v>Read and write avg</c:v>
                </c:pt>
                <c:pt idx="2">
                  <c:v>Literacy Certificate avg</c:v>
                </c:pt>
                <c:pt idx="3">
                  <c:v>Below Intermediate avg</c:v>
                </c:pt>
                <c:pt idx="4">
                  <c:v>Intermediate avg</c:v>
                </c:pt>
                <c:pt idx="5">
                  <c:v>Above Intermediate &amp; less than University avg</c:v>
                </c:pt>
                <c:pt idx="6">
                  <c:v>University and over avg</c:v>
                </c:pt>
              </c:strCache>
            </c:strRef>
          </c:cat>
          <c:val>
            <c:numRef>
              <c:f>'Level of education T-124'!$R$60:$R$66</c:f>
              <c:numCache>
                <c:formatCode>General</c:formatCode>
                <c:ptCount val="7"/>
                <c:pt idx="0">
                  <c:v>50794.152840537077</c:v>
                </c:pt>
                <c:pt idx="1">
                  <c:v>57571.42179087879</c:v>
                </c:pt>
                <c:pt idx="2">
                  <c:v>61490.766402124857</c:v>
                </c:pt>
                <c:pt idx="3">
                  <c:v>61769.496394992915</c:v>
                </c:pt>
                <c:pt idx="4">
                  <c:v>66784.078589559882</c:v>
                </c:pt>
                <c:pt idx="5">
                  <c:v>80328.528957964838</c:v>
                </c:pt>
                <c:pt idx="6">
                  <c:v>103280.14616237185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9-4FD3-B700-984F8B372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33551"/>
        <c:axId val="45631887"/>
      </c:barChart>
      <c:catAx>
        <c:axId val="4563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1887"/>
        <c:crosses val="autoZero"/>
        <c:auto val="1"/>
        <c:lblAlgn val="ctr"/>
        <c:lblOffset val="100"/>
        <c:noMultiLvlLbl val="0"/>
      </c:catAx>
      <c:valAx>
        <c:axId val="4563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VS Household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'Household Size T-10'!$S$31:$S$37</c:f>
              <c:strCache>
                <c:ptCount val="7"/>
                <c:pt idx="0">
                  <c:v>1 Person</c:v>
                </c:pt>
                <c:pt idx="1">
                  <c:v>2 Persons</c:v>
                </c:pt>
                <c:pt idx="2">
                  <c:v>3 Persons</c:v>
                </c:pt>
                <c:pt idx="3">
                  <c:v>4 Persons</c:v>
                </c:pt>
                <c:pt idx="4">
                  <c:v>5 Persons</c:v>
                </c:pt>
                <c:pt idx="5">
                  <c:v>6-7 persons</c:v>
                </c:pt>
                <c:pt idx="6">
                  <c:v>8 or more persons</c:v>
                </c:pt>
              </c:strCache>
            </c:strRef>
          </c:cat>
          <c:val>
            <c:numRef>
              <c:f>'Household Size T-10'!$T$31:$T$37</c:f>
              <c:numCache>
                <c:formatCode>General</c:formatCode>
                <c:ptCount val="7"/>
                <c:pt idx="0">
                  <c:v>37745.490981963929</c:v>
                </c:pt>
                <c:pt idx="1">
                  <c:v>58197.5</c:v>
                </c:pt>
                <c:pt idx="2">
                  <c:v>64264.558232931726</c:v>
                </c:pt>
                <c:pt idx="3">
                  <c:v>70635</c:v>
                </c:pt>
                <c:pt idx="4">
                  <c:v>74044.411177644724</c:v>
                </c:pt>
                <c:pt idx="5">
                  <c:v>78120.620620620626</c:v>
                </c:pt>
                <c:pt idx="6">
                  <c:v>84859.578736208641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B-4498-B058-56609545D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5629807"/>
        <c:axId val="45653103"/>
      </c:barChart>
      <c:catAx>
        <c:axId val="4562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53103"/>
        <c:crosses val="autoZero"/>
        <c:auto val="1"/>
        <c:lblAlgn val="ctr"/>
        <c:lblOffset val="100"/>
        <c:noMultiLvlLbl val="0"/>
      </c:catAx>
      <c:valAx>
        <c:axId val="4565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2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en-US">
                <a:effectLst/>
              </a:rPr>
              <a:t>Avrage income for differnt levels</a:t>
            </a:r>
            <a:endParaRPr lang="en-US"/>
          </a:p>
        </cx:rich>
      </cx:tx>
    </cx:title>
    <cx:plotArea>
      <cx:plotAreaRegion>
        <cx:series layoutId="boxWhisker" uniqueId="{82823ED5-FDFB-4EEA-89C7-CB6ABE933DC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25685</xdr:colOff>
      <xdr:row>56</xdr:row>
      <xdr:rowOff>148119</xdr:rowOff>
    </xdr:from>
    <xdr:to>
      <xdr:col>15</xdr:col>
      <xdr:colOff>1177247</xdr:colOff>
      <xdr:row>77</xdr:row>
      <xdr:rowOff>181938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714374</xdr:colOff>
      <xdr:row>37</xdr:row>
      <xdr:rowOff>66674</xdr:rowOff>
    </xdr:from>
    <xdr:to>
      <xdr:col>14</xdr:col>
      <xdr:colOff>819149</xdr:colOff>
      <xdr:row>57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874742</xdr:colOff>
      <xdr:row>39</xdr:row>
      <xdr:rowOff>86307</xdr:rowOff>
    </xdr:from>
    <xdr:to>
      <xdr:col>20</xdr:col>
      <xdr:colOff>165229</xdr:colOff>
      <xdr:row>55</xdr:row>
      <xdr:rowOff>97193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54382" y="7218627"/>
              <a:ext cx="4677827" cy="29369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126999</xdr:colOff>
      <xdr:row>10</xdr:row>
      <xdr:rowOff>63500</xdr:rowOff>
    </xdr:from>
    <xdr:to>
      <xdr:col>21</xdr:col>
      <xdr:colOff>582082</xdr:colOff>
      <xdr:row>28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000-000000000000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0000000-0016-0000-0000-000001000000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200-000002000000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Household Size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‫حجم الأسـرة‬‏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Table017__Page_32" displayName="Table_Table017__Page_32" ref="A1:P28" tableType="queryTable" totalsRowShown="0">
  <autoFilter ref="A1:P28" xr:uid="{00000000-0009-0000-0100-000001000000}"/>
  <tableColumns count="16">
    <tableColumn id="1" xr3:uid="{00000000-0010-0000-0000-000001000000}" uniqueName="1" name="Column1" queryTableFieldId="1" dataDxfId="42"/>
    <tableColumn id="2" xr3:uid="{00000000-0010-0000-0000-000002000000}" uniqueName="2" name="Column2" queryTableFieldId="2" dataDxfId="41"/>
    <tableColumn id="3" xr3:uid="{00000000-0010-0000-0000-000003000000}" uniqueName="3" name="Column3" queryTableFieldId="3" dataDxfId="40"/>
    <tableColumn id="4" xr3:uid="{00000000-0010-0000-0000-000004000000}" uniqueName="4" name="Column4" queryTableFieldId="4" dataDxfId="39"/>
    <tableColumn id="5" xr3:uid="{00000000-0010-0000-0000-000005000000}" uniqueName="5" name="Column5" queryTableFieldId="5" dataDxfId="38"/>
    <tableColumn id="6" xr3:uid="{00000000-0010-0000-0000-000006000000}" uniqueName="6" name="Column6" queryTableFieldId="6" dataDxfId="37"/>
    <tableColumn id="7" xr3:uid="{00000000-0010-0000-0000-000007000000}" uniqueName="7" name="Column7" queryTableFieldId="7" dataDxfId="36"/>
    <tableColumn id="8" xr3:uid="{00000000-0010-0000-0000-000008000000}" uniqueName="8" name="Column8" queryTableFieldId="8" dataDxfId="35"/>
    <tableColumn id="9" xr3:uid="{00000000-0010-0000-0000-000009000000}" uniqueName="9" name="Column9" queryTableFieldId="9" dataDxfId="34"/>
    <tableColumn id="10" xr3:uid="{00000000-0010-0000-0000-00000A000000}" uniqueName="10" name="Column10" queryTableFieldId="10" dataDxfId="33"/>
    <tableColumn id="11" xr3:uid="{00000000-0010-0000-0000-00000B000000}" uniqueName="11" name="Column11" queryTableFieldId="11" dataDxfId="32"/>
    <tableColumn id="12" xr3:uid="{00000000-0010-0000-0000-00000C000000}" uniqueName="12" name="Column12" queryTableFieldId="12" dataDxfId="31"/>
    <tableColumn id="13" xr3:uid="{00000000-0010-0000-0000-00000D000000}" uniqueName="13" name="Column13" queryTableFieldId="13" dataDxfId="30"/>
    <tableColumn id="14" xr3:uid="{00000000-0010-0000-0000-00000E000000}" uniqueName="14" name="Column14" queryTableFieldId="14" dataDxfId="29"/>
    <tableColumn id="15" xr3:uid="{00000000-0010-0000-0000-00000F000000}" uniqueName="15" name="Column15" queryTableFieldId="15" dataDxfId="28"/>
    <tableColumn id="16" xr3:uid="{00000000-0010-0000-0000-000010000000}" uniqueName="16" name="Column16" queryTableFieldId="16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Table018__Page_33" displayName="Table_Table018__Page_33" ref="A30:O56" tableType="queryTable" totalsRowShown="0">
  <autoFilter ref="A30:O56" xr:uid="{00000000-0009-0000-0100-000002000000}"/>
  <tableColumns count="15">
    <tableColumn id="1" xr3:uid="{00000000-0010-0000-0100-000001000000}" uniqueName="1" name="Column1" queryTableFieldId="1" dataDxfId="26"/>
    <tableColumn id="2" xr3:uid="{00000000-0010-0000-0100-000002000000}" uniqueName="2" name="Column2" queryTableFieldId="2" dataDxfId="25"/>
    <tableColumn id="3" xr3:uid="{00000000-0010-0000-0100-000003000000}" uniqueName="3" name="Column3" queryTableFieldId="3" dataDxfId="24"/>
    <tableColumn id="4" xr3:uid="{00000000-0010-0000-0100-000004000000}" uniqueName="4" name="Column4" queryTableFieldId="4" dataDxfId="23"/>
    <tableColumn id="5" xr3:uid="{00000000-0010-0000-0100-000005000000}" uniqueName="5" name="Column5" queryTableFieldId="5" dataDxfId="22"/>
    <tableColumn id="6" xr3:uid="{00000000-0010-0000-0100-000006000000}" uniqueName="6" name="Column6" queryTableFieldId="6" dataDxfId="21"/>
    <tableColumn id="7" xr3:uid="{00000000-0010-0000-0100-000007000000}" uniqueName="7" name="Column7" queryTableFieldId="7" dataDxfId="20"/>
    <tableColumn id="8" xr3:uid="{00000000-0010-0000-0100-000008000000}" uniqueName="8" name="Column8" queryTableFieldId="8" dataDxfId="19"/>
    <tableColumn id="9" xr3:uid="{00000000-0010-0000-0100-000009000000}" uniqueName="9" name="Column9" queryTableFieldId="9" dataDxfId="18"/>
    <tableColumn id="10" xr3:uid="{00000000-0010-0000-0100-00000A000000}" uniqueName="10" name="Column10" queryTableFieldId="10" dataDxfId="17"/>
    <tableColumn id="11" xr3:uid="{00000000-0010-0000-0100-00000B000000}" uniqueName="11" name="Column11" queryTableFieldId="11" dataDxfId="16"/>
    <tableColumn id="12" xr3:uid="{00000000-0010-0000-0100-00000C000000}" uniqueName="12" name="Column12" queryTableFieldId="12" dataDxfId="15"/>
    <tableColumn id="13" xr3:uid="{00000000-0010-0000-0100-00000D000000}" uniqueName="13" name="Column13" queryTableFieldId="13" dataDxfId="14"/>
    <tableColumn id="14" xr3:uid="{00000000-0010-0000-0100-00000E000000}" uniqueName="14" name="Column14" queryTableFieldId="14" dataDxfId="13"/>
    <tableColumn id="15" xr3:uid="{00000000-0010-0000-0100-00000F000000}" uniqueName="15" name="Column15" queryTableFieldId="15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_Table011__Page_26" displayName="Table_Table011__Page_26" ref="A1:M26" tableType="queryTable" totalsRowShown="0">
  <autoFilter ref="A1:M26" xr:uid="{00000000-0009-0000-0100-000005000000}"/>
  <tableColumns count="13">
    <tableColumn id="1" xr3:uid="{00000000-0010-0000-0200-000001000000}" uniqueName="1" name="Column1" queryTableFieldId="1" dataDxfId="11"/>
    <tableColumn id="2" xr3:uid="{00000000-0010-0000-0200-000002000000}" uniqueName="2" name="Household Size" queryTableFieldId="2" dataDxfId="10"/>
    <tableColumn id="3" xr3:uid="{00000000-0010-0000-0200-000003000000}" uniqueName="3" name="Column3" queryTableFieldId="3"/>
    <tableColumn id="4" xr3:uid="{00000000-0010-0000-0200-000004000000}" uniqueName="4" name="Column4" queryTableFieldId="4" dataDxfId="9"/>
    <tableColumn id="5" xr3:uid="{00000000-0010-0000-0200-000005000000}" uniqueName="5" name="Column5" queryTableFieldId="5" dataDxfId="8"/>
    <tableColumn id="6" xr3:uid="{00000000-0010-0000-0200-000006000000}" uniqueName="6" name="Column6" queryTableFieldId="6" dataDxfId="7"/>
    <tableColumn id="7" xr3:uid="{00000000-0010-0000-0200-000007000000}" uniqueName="7" name="Column7" queryTableFieldId="7" dataDxfId="6"/>
    <tableColumn id="8" xr3:uid="{00000000-0010-0000-0200-000008000000}" uniqueName="8" name="Column8" queryTableFieldId="8" dataDxfId="5"/>
    <tableColumn id="9" xr3:uid="{00000000-0010-0000-0200-000009000000}" uniqueName="9" name="Column9" queryTableFieldId="9" dataDxfId="4"/>
    <tableColumn id="10" xr3:uid="{00000000-0010-0000-0200-00000A000000}" uniqueName="10" name="Column2" queryTableFieldId="10" dataDxfId="3"/>
    <tableColumn id="11" xr3:uid="{00000000-0010-0000-0200-00000B000000}" uniqueName="11" name="Column11" queryTableFieldId="11" dataDxfId="2"/>
    <tableColumn id="12" xr3:uid="{00000000-0010-0000-0200-00000C000000}" uniqueName="12" name="Column12" queryTableFieldId="12" dataDxfId="1"/>
    <tableColumn id="13" xr3:uid="{00000000-0010-0000-0200-00000D000000}" uniqueName="13" name="Column13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"/>
  <sheetViews>
    <sheetView topLeftCell="A59" zoomScale="89" workbookViewId="0">
      <selection activeCell="B82" sqref="A81:B82"/>
    </sheetView>
  </sheetViews>
  <sheetFormatPr defaultRowHeight="14.4" x14ac:dyDescent="0.3"/>
  <cols>
    <col min="1" max="1" width="42.88671875" bestFit="1" customWidth="1"/>
    <col min="2" max="2" width="17" customWidth="1"/>
    <col min="3" max="3" width="18.6640625" customWidth="1"/>
    <col min="4" max="4" width="23" bestFit="1" customWidth="1"/>
    <col min="5" max="5" width="16.33203125" customWidth="1"/>
    <col min="6" max="7" width="11.109375" bestFit="1" customWidth="1"/>
    <col min="8" max="8" width="15" customWidth="1"/>
    <col min="9" max="9" width="11.109375" bestFit="1" customWidth="1"/>
    <col min="10" max="10" width="12.109375" bestFit="1" customWidth="1"/>
    <col min="11" max="11" width="16.33203125" bestFit="1" customWidth="1"/>
    <col min="12" max="15" width="12.109375" bestFit="1" customWidth="1"/>
    <col min="16" max="16" width="19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</row>
    <row r="3" spans="1:16" x14ac:dyDescent="0.3">
      <c r="D3" t="s">
        <v>17</v>
      </c>
    </row>
    <row r="4" spans="1:16" x14ac:dyDescent="0.3">
      <c r="A4" t="s">
        <v>18</v>
      </c>
    </row>
    <row r="5" spans="1:16" x14ac:dyDescent="0.3"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312</v>
      </c>
    </row>
    <row r="7" spans="1:16" x14ac:dyDescent="0.3">
      <c r="A7" t="s">
        <v>232</v>
      </c>
      <c r="B7" t="s">
        <v>30</v>
      </c>
      <c r="C7" t="s">
        <v>31</v>
      </c>
      <c r="D7" t="s">
        <v>31</v>
      </c>
      <c r="E7" t="s">
        <v>31</v>
      </c>
      <c r="F7" t="s">
        <v>30</v>
      </c>
      <c r="G7" t="s">
        <v>30</v>
      </c>
      <c r="H7" t="s">
        <v>31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</row>
    <row r="8" spans="1:16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31</v>
      </c>
      <c r="G8" t="s">
        <v>36</v>
      </c>
      <c r="H8" t="s">
        <v>37</v>
      </c>
      <c r="I8" t="s">
        <v>37</v>
      </c>
      <c r="J8" t="s">
        <v>37</v>
      </c>
      <c r="K8" t="s">
        <v>37</v>
      </c>
      <c r="L8" t="s">
        <v>38</v>
      </c>
      <c r="M8" t="s">
        <v>30</v>
      </c>
    </row>
    <row r="9" spans="1:16" x14ac:dyDescent="0.3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33</v>
      </c>
      <c r="G9" t="s">
        <v>44</v>
      </c>
      <c r="H9" t="s">
        <v>45</v>
      </c>
      <c r="I9" t="s">
        <v>46</v>
      </c>
      <c r="J9" t="s">
        <v>43</v>
      </c>
      <c r="K9" t="s">
        <v>47</v>
      </c>
      <c r="L9" t="s">
        <v>43</v>
      </c>
      <c r="M9" t="s">
        <v>30</v>
      </c>
    </row>
    <row r="10" spans="1:16" x14ac:dyDescent="0.3">
      <c r="A10" t="s">
        <v>48</v>
      </c>
      <c r="B10" t="s">
        <v>38</v>
      </c>
      <c r="C10" t="s">
        <v>49</v>
      </c>
      <c r="D10" t="s">
        <v>50</v>
      </c>
      <c r="E10" t="s">
        <v>47</v>
      </c>
      <c r="F10" t="s">
        <v>51</v>
      </c>
      <c r="G10" t="s">
        <v>52</v>
      </c>
      <c r="H10" t="s">
        <v>43</v>
      </c>
      <c r="I10" t="s">
        <v>51</v>
      </c>
      <c r="J10" t="s">
        <v>53</v>
      </c>
      <c r="K10" t="s">
        <v>54</v>
      </c>
      <c r="L10" t="s">
        <v>55</v>
      </c>
      <c r="M10" t="s">
        <v>56</v>
      </c>
    </row>
    <row r="11" spans="1:16" x14ac:dyDescent="0.3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I11" t="s">
        <v>54</v>
      </c>
      <c r="J11" t="s">
        <v>65</v>
      </c>
      <c r="K11" t="s">
        <v>66</v>
      </c>
      <c r="L11" t="s">
        <v>67</v>
      </c>
      <c r="M11" t="s">
        <v>68</v>
      </c>
    </row>
    <row r="12" spans="1:16" x14ac:dyDescent="0.3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53</v>
      </c>
      <c r="G12" t="s">
        <v>50</v>
      </c>
      <c r="H12" t="s">
        <v>74</v>
      </c>
      <c r="I12" t="s">
        <v>75</v>
      </c>
      <c r="J12" t="s">
        <v>76</v>
      </c>
      <c r="K12" t="s">
        <v>77</v>
      </c>
      <c r="L12" t="s">
        <v>78</v>
      </c>
      <c r="M12" t="s">
        <v>79</v>
      </c>
    </row>
    <row r="13" spans="1:16" x14ac:dyDescent="0.3">
      <c r="A13" t="s">
        <v>80</v>
      </c>
      <c r="B13" t="s">
        <v>81</v>
      </c>
      <c r="C13" t="s">
        <v>81</v>
      </c>
      <c r="D13" t="s">
        <v>79</v>
      </c>
      <c r="E13" t="s">
        <v>82</v>
      </c>
      <c r="F13" t="s">
        <v>83</v>
      </c>
      <c r="G13" t="s">
        <v>55</v>
      </c>
      <c r="H13" t="s">
        <v>81</v>
      </c>
      <c r="I13" t="s">
        <v>84</v>
      </c>
      <c r="J13" t="s">
        <v>85</v>
      </c>
      <c r="K13" t="s">
        <v>86</v>
      </c>
      <c r="L13" t="s">
        <v>87</v>
      </c>
      <c r="M13" t="s">
        <v>88</v>
      </c>
    </row>
    <row r="14" spans="1:16" x14ac:dyDescent="0.3">
      <c r="A14" t="s">
        <v>89</v>
      </c>
      <c r="B14" t="s">
        <v>81</v>
      </c>
      <c r="C14" t="s">
        <v>82</v>
      </c>
      <c r="D14" t="s">
        <v>65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  <c r="J14" t="s">
        <v>95</v>
      </c>
      <c r="K14" t="s">
        <v>96</v>
      </c>
      <c r="L14" t="s">
        <v>97</v>
      </c>
      <c r="M14" t="s">
        <v>79</v>
      </c>
    </row>
    <row r="15" spans="1:16" x14ac:dyDescent="0.3">
      <c r="A15" t="s">
        <v>98</v>
      </c>
      <c r="B15" t="s">
        <v>84</v>
      </c>
      <c r="C15" t="s">
        <v>65</v>
      </c>
      <c r="D15" t="s">
        <v>82</v>
      </c>
      <c r="E15" t="s">
        <v>99</v>
      </c>
      <c r="F15" t="s">
        <v>100</v>
      </c>
      <c r="G15" t="s">
        <v>101</v>
      </c>
      <c r="H15" t="s">
        <v>102</v>
      </c>
      <c r="I15" t="s">
        <v>103</v>
      </c>
      <c r="J15" t="s">
        <v>104</v>
      </c>
      <c r="K15" t="s">
        <v>77</v>
      </c>
      <c r="L15" t="s">
        <v>105</v>
      </c>
      <c r="M15" t="s">
        <v>67</v>
      </c>
    </row>
    <row r="16" spans="1:16" x14ac:dyDescent="0.3">
      <c r="A16" t="s">
        <v>106</v>
      </c>
      <c r="B16" t="s">
        <v>81</v>
      </c>
      <c r="C16" t="s">
        <v>107</v>
      </c>
      <c r="D16" t="s">
        <v>71</v>
      </c>
      <c r="E16" t="s">
        <v>65</v>
      </c>
      <c r="F16" t="s">
        <v>79</v>
      </c>
      <c r="G16" t="s">
        <v>81</v>
      </c>
      <c r="H16" t="s">
        <v>76</v>
      </c>
      <c r="I16" t="s">
        <v>108</v>
      </c>
      <c r="J16" t="s">
        <v>109</v>
      </c>
      <c r="K16" t="s">
        <v>104</v>
      </c>
      <c r="L16" t="s">
        <v>59</v>
      </c>
      <c r="M16" t="s">
        <v>110</v>
      </c>
    </row>
    <row r="17" spans="1:15" x14ac:dyDescent="0.3">
      <c r="A17" t="s">
        <v>111</v>
      </c>
      <c r="B17" t="s">
        <v>99</v>
      </c>
      <c r="C17" t="s">
        <v>49</v>
      </c>
      <c r="D17" t="s">
        <v>60</v>
      </c>
      <c r="E17" t="s">
        <v>60</v>
      </c>
      <c r="F17" t="s">
        <v>112</v>
      </c>
      <c r="G17" t="s">
        <v>79</v>
      </c>
      <c r="H17" t="s">
        <v>71</v>
      </c>
      <c r="I17" t="s">
        <v>113</v>
      </c>
      <c r="J17" t="s">
        <v>99</v>
      </c>
      <c r="K17" t="s">
        <v>114</v>
      </c>
      <c r="L17" t="s">
        <v>115</v>
      </c>
      <c r="M17" t="s">
        <v>40</v>
      </c>
    </row>
    <row r="18" spans="1:15" x14ac:dyDescent="0.3">
      <c r="A18" t="s">
        <v>116</v>
      </c>
      <c r="B18" t="s">
        <v>117</v>
      </c>
      <c r="C18" t="s">
        <v>90</v>
      </c>
      <c r="D18" t="s">
        <v>73</v>
      </c>
      <c r="E18" t="s">
        <v>118</v>
      </c>
      <c r="F18" t="s">
        <v>56</v>
      </c>
      <c r="G18" t="s">
        <v>59</v>
      </c>
      <c r="H18" t="s">
        <v>119</v>
      </c>
      <c r="I18" t="s">
        <v>120</v>
      </c>
      <c r="J18" t="s">
        <v>73</v>
      </c>
      <c r="K18" t="s">
        <v>114</v>
      </c>
      <c r="L18" t="s">
        <v>121</v>
      </c>
      <c r="M18" t="s">
        <v>30</v>
      </c>
    </row>
    <row r="19" spans="1:15" x14ac:dyDescent="0.3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127</v>
      </c>
      <c r="G19" t="s">
        <v>126</v>
      </c>
      <c r="H19" t="s">
        <v>128</v>
      </c>
      <c r="I19" t="s">
        <v>129</v>
      </c>
      <c r="J19" t="s">
        <v>120</v>
      </c>
      <c r="K19" t="s">
        <v>130</v>
      </c>
      <c r="L19" t="s">
        <v>62</v>
      </c>
      <c r="M19" t="s">
        <v>63</v>
      </c>
    </row>
    <row r="20" spans="1:15" x14ac:dyDescent="0.3">
      <c r="A20" t="s">
        <v>131</v>
      </c>
      <c r="B20" t="s">
        <v>82</v>
      </c>
      <c r="C20" t="s">
        <v>73</v>
      </c>
      <c r="D20" t="s">
        <v>124</v>
      </c>
      <c r="E20" t="s">
        <v>119</v>
      </c>
      <c r="F20" t="s">
        <v>101</v>
      </c>
      <c r="G20" t="s">
        <v>132</v>
      </c>
      <c r="H20" t="s">
        <v>56</v>
      </c>
      <c r="I20" t="s">
        <v>91</v>
      </c>
      <c r="J20" t="s">
        <v>133</v>
      </c>
      <c r="K20" t="s">
        <v>38</v>
      </c>
      <c r="L20" t="s">
        <v>115</v>
      </c>
      <c r="M20" t="s">
        <v>134</v>
      </c>
    </row>
    <row r="21" spans="1:15" x14ac:dyDescent="0.3">
      <c r="A21" t="s">
        <v>135</v>
      </c>
      <c r="B21" t="s">
        <v>54</v>
      </c>
      <c r="C21" t="s">
        <v>58</v>
      </c>
      <c r="D21" t="s">
        <v>91</v>
      </c>
      <c r="E21" t="s">
        <v>65</v>
      </c>
      <c r="F21" t="s">
        <v>136</v>
      </c>
      <c r="G21" t="s">
        <v>119</v>
      </c>
      <c r="H21" t="s">
        <v>137</v>
      </c>
      <c r="I21" t="s">
        <v>50</v>
      </c>
      <c r="J21" t="s">
        <v>62</v>
      </c>
      <c r="K21" t="s">
        <v>35</v>
      </c>
      <c r="L21" t="s">
        <v>138</v>
      </c>
      <c r="M21" t="s">
        <v>30</v>
      </c>
    </row>
    <row r="22" spans="1:15" x14ac:dyDescent="0.3">
      <c r="A22" t="s">
        <v>139</v>
      </c>
      <c r="B22" t="s">
        <v>73</v>
      </c>
      <c r="C22" t="s">
        <v>137</v>
      </c>
      <c r="D22" t="s">
        <v>70</v>
      </c>
      <c r="E22" t="s">
        <v>93</v>
      </c>
      <c r="F22" t="s">
        <v>76</v>
      </c>
      <c r="G22" t="s">
        <v>113</v>
      </c>
      <c r="H22" t="s">
        <v>79</v>
      </c>
      <c r="I22" t="s">
        <v>140</v>
      </c>
      <c r="J22" t="s">
        <v>141</v>
      </c>
      <c r="K22" t="s">
        <v>138</v>
      </c>
      <c r="L22" t="s">
        <v>138</v>
      </c>
      <c r="M22" t="s">
        <v>30</v>
      </c>
    </row>
    <row r="23" spans="1:15" x14ac:dyDescent="0.3">
      <c r="A23" t="s">
        <v>142</v>
      </c>
      <c r="B23" t="s">
        <v>143</v>
      </c>
      <c r="C23" t="s">
        <v>49</v>
      </c>
      <c r="D23" t="s">
        <v>144</v>
      </c>
      <c r="E23" t="s">
        <v>99</v>
      </c>
      <c r="F23" t="s">
        <v>118</v>
      </c>
      <c r="G23" t="s">
        <v>145</v>
      </c>
      <c r="H23" t="s">
        <v>62</v>
      </c>
      <c r="I23" t="s">
        <v>141</v>
      </c>
      <c r="J23" t="s">
        <v>34</v>
      </c>
      <c r="K23" t="s">
        <v>146</v>
      </c>
      <c r="L23" t="s">
        <v>147</v>
      </c>
      <c r="M23" t="s">
        <v>30</v>
      </c>
    </row>
    <row r="24" spans="1:15" x14ac:dyDescent="0.3">
      <c r="A24" t="s">
        <v>148</v>
      </c>
      <c r="B24" t="s">
        <v>141</v>
      </c>
      <c r="C24" t="s">
        <v>149</v>
      </c>
      <c r="D24" t="s">
        <v>150</v>
      </c>
      <c r="E24" t="s">
        <v>144</v>
      </c>
      <c r="F24" t="s">
        <v>151</v>
      </c>
      <c r="G24" t="s">
        <v>150</v>
      </c>
      <c r="H24" t="s">
        <v>42</v>
      </c>
      <c r="I24" t="s">
        <v>47</v>
      </c>
      <c r="J24" t="s">
        <v>46</v>
      </c>
      <c r="K24" t="s">
        <v>36</v>
      </c>
      <c r="L24" t="s">
        <v>44</v>
      </c>
      <c r="M24" t="s">
        <v>30</v>
      </c>
    </row>
    <row r="25" spans="1:15" x14ac:dyDescent="0.3">
      <c r="A25" t="s">
        <v>152</v>
      </c>
      <c r="B25" t="s">
        <v>51</v>
      </c>
      <c r="C25" t="s">
        <v>153</v>
      </c>
      <c r="D25" t="s">
        <v>154</v>
      </c>
      <c r="E25" t="s">
        <v>140</v>
      </c>
      <c r="F25" t="s">
        <v>149</v>
      </c>
      <c r="G25" t="s">
        <v>154</v>
      </c>
      <c r="H25" t="s">
        <v>40</v>
      </c>
      <c r="I25" t="s">
        <v>43</v>
      </c>
      <c r="J25" t="s">
        <v>52</v>
      </c>
      <c r="K25" t="s">
        <v>35</v>
      </c>
      <c r="L25" t="s">
        <v>43</v>
      </c>
      <c r="M25" t="s">
        <v>30</v>
      </c>
    </row>
    <row r="26" spans="1:15" x14ac:dyDescent="0.3">
      <c r="A26" s="3" t="s">
        <v>19</v>
      </c>
      <c r="B26" t="s">
        <v>155</v>
      </c>
      <c r="C26" t="s">
        <v>155</v>
      </c>
      <c r="D26" t="s">
        <v>155</v>
      </c>
      <c r="E26" t="s">
        <v>155</v>
      </c>
      <c r="F26" t="s">
        <v>155</v>
      </c>
      <c r="G26" t="s">
        <v>155</v>
      </c>
      <c r="H26" t="s">
        <v>155</v>
      </c>
      <c r="I26" t="s">
        <v>155</v>
      </c>
      <c r="J26" t="s">
        <v>155</v>
      </c>
      <c r="K26" t="s">
        <v>155</v>
      </c>
      <c r="L26" t="s">
        <v>155</v>
      </c>
      <c r="M26" t="s">
        <v>155</v>
      </c>
    </row>
    <row r="27" spans="1:15" x14ac:dyDescent="0.3">
      <c r="A27" t="s">
        <v>233</v>
      </c>
      <c r="B27" t="s">
        <v>156</v>
      </c>
      <c r="C27" t="s">
        <v>157</v>
      </c>
      <c r="D27" t="s">
        <v>158</v>
      </c>
      <c r="E27" t="s">
        <v>159</v>
      </c>
      <c r="F27" t="s">
        <v>160</v>
      </c>
      <c r="G27" t="s">
        <v>161</v>
      </c>
      <c r="H27" t="s">
        <v>162</v>
      </c>
      <c r="I27" t="s">
        <v>163</v>
      </c>
      <c r="J27" t="s">
        <v>164</v>
      </c>
      <c r="K27" t="s">
        <v>165</v>
      </c>
      <c r="L27" t="s">
        <v>166</v>
      </c>
      <c r="M27" t="s">
        <v>167</v>
      </c>
    </row>
    <row r="28" spans="1:15" x14ac:dyDescent="0.3">
      <c r="A28" t="s">
        <v>168</v>
      </c>
      <c r="B28" t="s">
        <v>169</v>
      </c>
      <c r="C28" t="s">
        <v>170</v>
      </c>
      <c r="D28" t="s">
        <v>171</v>
      </c>
      <c r="E28" t="s">
        <v>172</v>
      </c>
      <c r="F28" t="s">
        <v>173</v>
      </c>
      <c r="G28" t="s">
        <v>174</v>
      </c>
      <c r="H28" t="s">
        <v>175</v>
      </c>
      <c r="I28" t="s">
        <v>176</v>
      </c>
      <c r="J28" t="s">
        <v>177</v>
      </c>
      <c r="K28" t="s">
        <v>178</v>
      </c>
      <c r="L28" t="s">
        <v>179</v>
      </c>
      <c r="M28" t="s">
        <v>180</v>
      </c>
    </row>
    <row r="30" spans="1:15" x14ac:dyDescent="0.3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11</v>
      </c>
      <c r="M30" t="s">
        <v>12</v>
      </c>
      <c r="N30" t="s">
        <v>13</v>
      </c>
      <c r="O30" t="s">
        <v>14</v>
      </c>
    </row>
    <row r="31" spans="1:15" x14ac:dyDescent="0.3">
      <c r="A31" t="s">
        <v>181</v>
      </c>
    </row>
    <row r="32" spans="1:15" x14ac:dyDescent="0.3">
      <c r="C32" t="s">
        <v>17</v>
      </c>
    </row>
    <row r="33" spans="1:13" x14ac:dyDescent="0.3">
      <c r="A33" t="s">
        <v>18</v>
      </c>
    </row>
    <row r="34" spans="1:13" x14ac:dyDescent="0.3">
      <c r="B34" t="s">
        <v>19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28</v>
      </c>
      <c r="L34" t="s">
        <v>29</v>
      </c>
      <c r="M34" t="s">
        <v>312</v>
      </c>
    </row>
    <row r="35" spans="1:13" x14ac:dyDescent="0.3">
      <c r="B35" t="s">
        <v>37</v>
      </c>
      <c r="C35" t="s">
        <v>37</v>
      </c>
      <c r="D35" t="s">
        <v>44</v>
      </c>
      <c r="E35" t="s">
        <v>44</v>
      </c>
      <c r="F35" t="s">
        <v>182</v>
      </c>
      <c r="G35" t="s">
        <v>37</v>
      </c>
      <c r="H35" t="s">
        <v>30</v>
      </c>
      <c r="I35" t="s">
        <v>37</v>
      </c>
      <c r="J35" t="s">
        <v>183</v>
      </c>
      <c r="K35" t="s">
        <v>44</v>
      </c>
      <c r="L35" t="s">
        <v>33</v>
      </c>
      <c r="M35" t="s">
        <v>30</v>
      </c>
    </row>
    <row r="36" spans="1:13" x14ac:dyDescent="0.3">
      <c r="A36" t="s">
        <v>32</v>
      </c>
      <c r="B36" t="s">
        <v>71</v>
      </c>
      <c r="C36" t="s">
        <v>184</v>
      </c>
      <c r="D36" t="s">
        <v>101</v>
      </c>
      <c r="E36" t="s">
        <v>185</v>
      </c>
      <c r="F36" t="s">
        <v>49</v>
      </c>
      <c r="G36" t="s">
        <v>115</v>
      </c>
      <c r="H36" t="s">
        <v>47</v>
      </c>
      <c r="I36" t="s">
        <v>34</v>
      </c>
      <c r="J36" t="s">
        <v>183</v>
      </c>
      <c r="K36" t="s">
        <v>133</v>
      </c>
      <c r="L36" t="s">
        <v>115</v>
      </c>
      <c r="M36" t="s">
        <v>30</v>
      </c>
    </row>
    <row r="37" spans="1:13" x14ac:dyDescent="0.3">
      <c r="A37" t="s">
        <v>39</v>
      </c>
      <c r="B37" t="s">
        <v>119</v>
      </c>
      <c r="C37" t="s">
        <v>127</v>
      </c>
      <c r="D37" t="s">
        <v>186</v>
      </c>
      <c r="E37" t="s">
        <v>101</v>
      </c>
      <c r="F37" t="s">
        <v>91</v>
      </c>
      <c r="G37" t="s">
        <v>137</v>
      </c>
      <c r="H37" t="s">
        <v>138</v>
      </c>
      <c r="I37" t="s">
        <v>141</v>
      </c>
      <c r="J37" t="s">
        <v>62</v>
      </c>
      <c r="K37" t="s">
        <v>63</v>
      </c>
      <c r="L37" t="s">
        <v>115</v>
      </c>
      <c r="M37" t="s">
        <v>187</v>
      </c>
    </row>
    <row r="38" spans="1:13" x14ac:dyDescent="0.3">
      <c r="A38" t="s">
        <v>48</v>
      </c>
      <c r="B38" t="s">
        <v>81</v>
      </c>
      <c r="C38" t="s">
        <v>188</v>
      </c>
      <c r="D38" t="s">
        <v>104</v>
      </c>
      <c r="E38" t="s">
        <v>129</v>
      </c>
      <c r="F38" t="s">
        <v>136</v>
      </c>
      <c r="G38" t="s">
        <v>107</v>
      </c>
      <c r="H38" t="s">
        <v>150</v>
      </c>
      <c r="I38" t="s">
        <v>50</v>
      </c>
      <c r="J38" t="s">
        <v>62</v>
      </c>
      <c r="K38" t="s">
        <v>107</v>
      </c>
      <c r="L38" t="s">
        <v>126</v>
      </c>
      <c r="M38" t="s">
        <v>120</v>
      </c>
    </row>
    <row r="39" spans="1:13" x14ac:dyDescent="0.3">
      <c r="A39" t="s">
        <v>57</v>
      </c>
      <c r="B39" t="s">
        <v>71</v>
      </c>
      <c r="C39" t="s">
        <v>109</v>
      </c>
      <c r="D39" t="s">
        <v>72</v>
      </c>
      <c r="E39" t="s">
        <v>107</v>
      </c>
      <c r="F39" t="s">
        <v>74</v>
      </c>
      <c r="G39" t="s">
        <v>71</v>
      </c>
      <c r="H39" t="s">
        <v>72</v>
      </c>
      <c r="I39" t="s">
        <v>61</v>
      </c>
      <c r="J39" t="s">
        <v>128</v>
      </c>
      <c r="K39" t="s">
        <v>114</v>
      </c>
      <c r="L39" t="s">
        <v>189</v>
      </c>
      <c r="M39" t="s">
        <v>190</v>
      </c>
    </row>
    <row r="40" spans="1:13" x14ac:dyDescent="0.3">
      <c r="A40" t="s">
        <v>69</v>
      </c>
      <c r="B40" t="s">
        <v>134</v>
      </c>
      <c r="C40" t="s">
        <v>56</v>
      </c>
      <c r="D40" t="s">
        <v>75</v>
      </c>
      <c r="E40" t="s">
        <v>71</v>
      </c>
      <c r="F40" t="s">
        <v>70</v>
      </c>
      <c r="G40" t="s">
        <v>185</v>
      </c>
      <c r="H40" t="s">
        <v>99</v>
      </c>
      <c r="I40" t="s">
        <v>191</v>
      </c>
      <c r="J40" t="s">
        <v>94</v>
      </c>
      <c r="K40" t="s">
        <v>192</v>
      </c>
      <c r="L40" t="s">
        <v>187</v>
      </c>
      <c r="M40" t="s">
        <v>193</v>
      </c>
    </row>
    <row r="41" spans="1:13" x14ac:dyDescent="0.3">
      <c r="A41" t="s">
        <v>80</v>
      </c>
      <c r="B41" t="s">
        <v>75</v>
      </c>
      <c r="C41" t="s">
        <v>194</v>
      </c>
      <c r="D41" t="s">
        <v>95</v>
      </c>
      <c r="E41" t="s">
        <v>99</v>
      </c>
      <c r="F41" t="s">
        <v>112</v>
      </c>
      <c r="G41" t="s">
        <v>134</v>
      </c>
      <c r="H41" t="s">
        <v>71</v>
      </c>
      <c r="I41" t="s">
        <v>134</v>
      </c>
      <c r="J41" t="s">
        <v>195</v>
      </c>
      <c r="K41" t="s">
        <v>196</v>
      </c>
      <c r="L41" t="s">
        <v>197</v>
      </c>
      <c r="M41" t="s">
        <v>198</v>
      </c>
    </row>
    <row r="42" spans="1:13" x14ac:dyDescent="0.3">
      <c r="A42" t="s">
        <v>89</v>
      </c>
      <c r="B42" t="s">
        <v>119</v>
      </c>
      <c r="C42" t="s">
        <v>83</v>
      </c>
      <c r="D42" t="s">
        <v>90</v>
      </c>
      <c r="E42" t="s">
        <v>99</v>
      </c>
      <c r="F42" t="s">
        <v>84</v>
      </c>
      <c r="G42" t="s">
        <v>136</v>
      </c>
      <c r="H42" t="s">
        <v>102</v>
      </c>
      <c r="I42" t="s">
        <v>199</v>
      </c>
      <c r="J42" t="s">
        <v>200</v>
      </c>
      <c r="K42" t="s">
        <v>127</v>
      </c>
      <c r="L42" t="s">
        <v>201</v>
      </c>
      <c r="M42" t="s">
        <v>202</v>
      </c>
    </row>
    <row r="43" spans="1:13" x14ac:dyDescent="0.3">
      <c r="A43" t="s">
        <v>98</v>
      </c>
      <c r="B43" t="s">
        <v>65</v>
      </c>
      <c r="C43" t="s">
        <v>203</v>
      </c>
      <c r="D43" t="s">
        <v>82</v>
      </c>
      <c r="E43" t="s">
        <v>107</v>
      </c>
      <c r="F43" t="s">
        <v>204</v>
      </c>
      <c r="G43" t="s">
        <v>205</v>
      </c>
      <c r="H43" t="s">
        <v>107</v>
      </c>
      <c r="I43" t="s">
        <v>97</v>
      </c>
      <c r="J43" t="s">
        <v>66</v>
      </c>
      <c r="K43" t="s">
        <v>134</v>
      </c>
      <c r="L43" t="s">
        <v>151</v>
      </c>
      <c r="M43" t="s">
        <v>115</v>
      </c>
    </row>
    <row r="44" spans="1:13" x14ac:dyDescent="0.3">
      <c r="A44" t="s">
        <v>106</v>
      </c>
      <c r="B44" t="s">
        <v>65</v>
      </c>
      <c r="C44" t="s">
        <v>143</v>
      </c>
      <c r="D44" t="s">
        <v>143</v>
      </c>
      <c r="E44" t="s">
        <v>117</v>
      </c>
      <c r="F44" t="s">
        <v>112</v>
      </c>
      <c r="G44" t="s">
        <v>118</v>
      </c>
      <c r="H44" t="s">
        <v>65</v>
      </c>
      <c r="I44" t="s">
        <v>125</v>
      </c>
      <c r="J44" t="s">
        <v>101</v>
      </c>
      <c r="K44" t="s">
        <v>123</v>
      </c>
      <c r="L44" t="s">
        <v>109</v>
      </c>
      <c r="M44" t="s">
        <v>82</v>
      </c>
    </row>
    <row r="45" spans="1:13" x14ac:dyDescent="0.3">
      <c r="A45" t="s">
        <v>111</v>
      </c>
      <c r="B45" t="s">
        <v>137</v>
      </c>
      <c r="C45" t="s">
        <v>140</v>
      </c>
      <c r="D45" t="s">
        <v>41</v>
      </c>
      <c r="E45" t="s">
        <v>41</v>
      </c>
      <c r="F45" t="s">
        <v>203</v>
      </c>
      <c r="G45" t="s">
        <v>107</v>
      </c>
      <c r="H45" t="s">
        <v>100</v>
      </c>
      <c r="I45" t="s">
        <v>144</v>
      </c>
      <c r="J45" t="s">
        <v>118</v>
      </c>
      <c r="K45" t="s">
        <v>65</v>
      </c>
      <c r="L45" t="s">
        <v>194</v>
      </c>
      <c r="M45" t="s">
        <v>150</v>
      </c>
    </row>
    <row r="46" spans="1:13" x14ac:dyDescent="0.3">
      <c r="A46" t="s">
        <v>116</v>
      </c>
      <c r="B46" t="s">
        <v>143</v>
      </c>
      <c r="C46" t="s">
        <v>42</v>
      </c>
      <c r="D46" t="s">
        <v>50</v>
      </c>
      <c r="E46" t="s">
        <v>90</v>
      </c>
      <c r="F46" t="s">
        <v>144</v>
      </c>
      <c r="G46" t="s">
        <v>140</v>
      </c>
      <c r="H46" t="s">
        <v>70</v>
      </c>
      <c r="I46" t="s">
        <v>150</v>
      </c>
      <c r="J46" t="s">
        <v>79</v>
      </c>
      <c r="K46" t="s">
        <v>149</v>
      </c>
      <c r="L46" t="s">
        <v>63</v>
      </c>
      <c r="M46" t="s">
        <v>50</v>
      </c>
    </row>
    <row r="47" spans="1:13" x14ac:dyDescent="0.3">
      <c r="A47" t="s">
        <v>122</v>
      </c>
      <c r="B47" t="s">
        <v>74</v>
      </c>
      <c r="C47" t="s">
        <v>130</v>
      </c>
      <c r="D47" t="s">
        <v>205</v>
      </c>
      <c r="E47" t="s">
        <v>124</v>
      </c>
      <c r="F47" t="s">
        <v>136</v>
      </c>
      <c r="G47" t="s">
        <v>123</v>
      </c>
      <c r="H47" t="s">
        <v>97</v>
      </c>
      <c r="I47" t="s">
        <v>206</v>
      </c>
      <c r="J47" t="s">
        <v>154</v>
      </c>
      <c r="K47" t="s">
        <v>118</v>
      </c>
      <c r="L47" t="s">
        <v>138</v>
      </c>
      <c r="M47" t="s">
        <v>43</v>
      </c>
    </row>
    <row r="48" spans="1:13" x14ac:dyDescent="0.3">
      <c r="A48" t="s">
        <v>131</v>
      </c>
      <c r="B48" t="s">
        <v>53</v>
      </c>
      <c r="C48" t="s">
        <v>150</v>
      </c>
      <c r="D48" t="s">
        <v>137</v>
      </c>
      <c r="E48" t="s">
        <v>149</v>
      </c>
      <c r="F48" t="s">
        <v>107</v>
      </c>
      <c r="G48" t="s">
        <v>124</v>
      </c>
      <c r="H48" t="s">
        <v>91</v>
      </c>
      <c r="I48" t="s">
        <v>61</v>
      </c>
      <c r="J48" t="s">
        <v>144</v>
      </c>
      <c r="K48" t="s">
        <v>83</v>
      </c>
      <c r="L48" t="s">
        <v>42</v>
      </c>
      <c r="M48" t="s">
        <v>30</v>
      </c>
    </row>
    <row r="49" spans="1:13" x14ac:dyDescent="0.3">
      <c r="A49" t="s">
        <v>135</v>
      </c>
      <c r="B49" t="s">
        <v>38</v>
      </c>
      <c r="C49" t="s">
        <v>63</v>
      </c>
      <c r="D49" t="s">
        <v>42</v>
      </c>
      <c r="E49" t="s">
        <v>154</v>
      </c>
      <c r="F49" t="s">
        <v>73</v>
      </c>
      <c r="G49" t="s">
        <v>154</v>
      </c>
      <c r="H49" t="s">
        <v>34</v>
      </c>
      <c r="I49" t="s">
        <v>55</v>
      </c>
      <c r="J49" t="s">
        <v>137</v>
      </c>
      <c r="K49" t="s">
        <v>146</v>
      </c>
      <c r="L49" t="s">
        <v>47</v>
      </c>
      <c r="M49" t="s">
        <v>30</v>
      </c>
    </row>
    <row r="50" spans="1:13" x14ac:dyDescent="0.3">
      <c r="A50" t="s">
        <v>139</v>
      </c>
      <c r="B50" t="s">
        <v>41</v>
      </c>
      <c r="C50" t="s">
        <v>63</v>
      </c>
      <c r="D50" t="s">
        <v>137</v>
      </c>
      <c r="E50" t="s">
        <v>150</v>
      </c>
      <c r="F50" t="s">
        <v>114</v>
      </c>
      <c r="G50" t="s">
        <v>58</v>
      </c>
      <c r="H50" t="s">
        <v>92</v>
      </c>
      <c r="I50" t="s">
        <v>144</v>
      </c>
      <c r="J50" t="s">
        <v>68</v>
      </c>
      <c r="K50" t="s">
        <v>183</v>
      </c>
      <c r="L50" t="s">
        <v>149</v>
      </c>
      <c r="M50" t="s">
        <v>30</v>
      </c>
    </row>
    <row r="51" spans="1:13" x14ac:dyDescent="0.3">
      <c r="A51" t="s">
        <v>142</v>
      </c>
      <c r="B51" t="s">
        <v>62</v>
      </c>
      <c r="C51" t="s">
        <v>121</v>
      </c>
      <c r="D51" t="s">
        <v>147</v>
      </c>
      <c r="E51" t="s">
        <v>83</v>
      </c>
      <c r="F51" t="s">
        <v>149</v>
      </c>
      <c r="G51" t="s">
        <v>206</v>
      </c>
      <c r="H51" t="s">
        <v>151</v>
      </c>
      <c r="I51" t="s">
        <v>149</v>
      </c>
      <c r="J51" t="s">
        <v>141</v>
      </c>
      <c r="K51" t="s">
        <v>45</v>
      </c>
      <c r="L51" t="s">
        <v>36</v>
      </c>
      <c r="M51" t="s">
        <v>30</v>
      </c>
    </row>
    <row r="52" spans="1:13" x14ac:dyDescent="0.3">
      <c r="A52" t="s">
        <v>148</v>
      </c>
      <c r="B52" t="s">
        <v>43</v>
      </c>
      <c r="C52" t="s">
        <v>121</v>
      </c>
      <c r="D52" t="s">
        <v>37</v>
      </c>
      <c r="E52" t="s">
        <v>44</v>
      </c>
      <c r="F52" t="s">
        <v>43</v>
      </c>
      <c r="G52" t="s">
        <v>51</v>
      </c>
      <c r="H52" t="s">
        <v>183</v>
      </c>
      <c r="I52" t="s">
        <v>42</v>
      </c>
      <c r="J52" t="s">
        <v>37</v>
      </c>
      <c r="K52" t="s">
        <v>30</v>
      </c>
      <c r="L52" t="s">
        <v>30</v>
      </c>
      <c r="M52" t="s">
        <v>30</v>
      </c>
    </row>
    <row r="53" spans="1:13" x14ac:dyDescent="0.3">
      <c r="A53" t="s">
        <v>152</v>
      </c>
      <c r="B53" t="s">
        <v>183</v>
      </c>
      <c r="C53" t="s">
        <v>183</v>
      </c>
      <c r="D53" t="s">
        <v>207</v>
      </c>
      <c r="E53" t="s">
        <v>147</v>
      </c>
      <c r="F53" t="s">
        <v>40</v>
      </c>
      <c r="G53" t="s">
        <v>42</v>
      </c>
      <c r="H53" t="s">
        <v>149</v>
      </c>
      <c r="I53" t="s">
        <v>35</v>
      </c>
      <c r="J53" t="s">
        <v>30</v>
      </c>
      <c r="K53" t="s">
        <v>146</v>
      </c>
      <c r="L53" t="s">
        <v>45</v>
      </c>
      <c r="M53" t="s">
        <v>30</v>
      </c>
    </row>
    <row r="54" spans="1:13" x14ac:dyDescent="0.3">
      <c r="A54" t="s">
        <v>19</v>
      </c>
      <c r="B54" t="s">
        <v>155</v>
      </c>
      <c r="C54" t="s">
        <v>155</v>
      </c>
      <c r="D54" t="s">
        <v>155</v>
      </c>
      <c r="E54" t="s">
        <v>155</v>
      </c>
      <c r="F54" t="s">
        <v>155</v>
      </c>
      <c r="G54" t="s">
        <v>155</v>
      </c>
      <c r="H54" t="s">
        <v>155</v>
      </c>
      <c r="I54" t="s">
        <v>155</v>
      </c>
      <c r="J54" t="s">
        <v>155</v>
      </c>
      <c r="K54" t="s">
        <v>155</v>
      </c>
      <c r="L54" t="s">
        <v>155</v>
      </c>
      <c r="M54" t="s">
        <v>155</v>
      </c>
    </row>
    <row r="55" spans="1:13" x14ac:dyDescent="0.3">
      <c r="A55" t="s">
        <v>233</v>
      </c>
      <c r="B55" t="s">
        <v>208</v>
      </c>
      <c r="C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K55" t="s">
        <v>217</v>
      </c>
      <c r="L55" t="s">
        <v>218</v>
      </c>
      <c r="M55" t="s">
        <v>219</v>
      </c>
    </row>
    <row r="56" spans="1:13" x14ac:dyDescent="0.3">
      <c r="A56" t="s">
        <v>168</v>
      </c>
      <c r="B56" t="s">
        <v>220</v>
      </c>
      <c r="C56" t="s">
        <v>221</v>
      </c>
      <c r="D56" t="s">
        <v>222</v>
      </c>
      <c r="E56" t="s">
        <v>223</v>
      </c>
      <c r="F56" t="s">
        <v>224</v>
      </c>
      <c r="G56" t="s">
        <v>225</v>
      </c>
      <c r="H56" t="s">
        <v>226</v>
      </c>
      <c r="I56" t="s">
        <v>227</v>
      </c>
      <c r="J56" t="s">
        <v>228</v>
      </c>
      <c r="K56" t="s">
        <v>229</v>
      </c>
      <c r="L56" t="s">
        <v>230</v>
      </c>
      <c r="M56" t="s">
        <v>231</v>
      </c>
    </row>
    <row r="58" spans="1:13" x14ac:dyDescent="0.3">
      <c r="A58" s="5" t="s">
        <v>234</v>
      </c>
      <c r="B58" s="5" t="s">
        <v>235</v>
      </c>
      <c r="C58" s="5" t="s">
        <v>236</v>
      </c>
      <c r="D58" s="5" t="s">
        <v>237</v>
      </c>
      <c r="E58" s="5" t="s">
        <v>238</v>
      </c>
      <c r="F58" s="11"/>
      <c r="G58" t="str">
        <f>D58</f>
        <v>M  HH percentage</v>
      </c>
      <c r="H58" t="str">
        <f>E58</f>
        <v>F  HH percentage</v>
      </c>
    </row>
    <row r="59" spans="1:13" x14ac:dyDescent="0.3">
      <c r="A59" s="4">
        <v>5000</v>
      </c>
      <c r="B59" s="27">
        <f>(C7*1985+D7*1336+E7*1687+F7*1986+G7*2037+H7*2237+I7*2611+J7*2535+K7*1382+L7*325+M7*17)/100</f>
        <v>7.245000000000001</v>
      </c>
      <c r="C59" s="27">
        <f>(C35*1123+D35*523+E35*504+F35*435+G35*315+H35*281+I35*238+J35*236+K35*196+L35*146+M35*34)/100</f>
        <v>17.869</v>
      </c>
      <c r="D59" s="8">
        <f>(B59/(18139+4031))*100</f>
        <v>3.2679296346414081E-2</v>
      </c>
      <c r="E59" s="8">
        <f>(C59/(18139+4031))*100</f>
        <v>8.05999097880018E-2</v>
      </c>
      <c r="F59">
        <v>5000</v>
      </c>
      <c r="G59">
        <f>D59/$D$78</f>
        <v>3.995945039623009E-4</v>
      </c>
      <c r="H59">
        <f>E59/$E$78</f>
        <v>4.4327708005208475E-3</v>
      </c>
    </row>
    <row r="60" spans="1:13" x14ac:dyDescent="0.3">
      <c r="A60" s="6">
        <v>15000</v>
      </c>
      <c r="B60" s="27">
        <f t="shared" ref="B60:B77" si="0">(C8*1985+D8*1336+E8*1687+F8*1986+G8*2037+H8*2237+I8*2611+J8*2535+K8*1382+L8*325+M8*17)/100</f>
        <v>116.00900000000001</v>
      </c>
      <c r="C60" s="27">
        <f t="shared" ref="C60:C77" si="1">(C36*1123+D36*523+E36*504+F36*435+G36*315+H36*281+I36*238+J36*236+K36*196+L36*146+M36*34)/100</f>
        <v>327.75300000000004</v>
      </c>
      <c r="D60" s="8">
        <f>(B60/(18139+4031))*100</f>
        <v>0.52327018493459632</v>
      </c>
      <c r="E60" s="8">
        <f t="shared" ref="E60:E77" si="2">(C60/(18139+4031))*100</f>
        <v>1.4783626522327473</v>
      </c>
      <c r="F60">
        <v>15000</v>
      </c>
      <c r="G60">
        <f t="shared" ref="G60:G77" si="3">D60/$D$78</f>
        <v>6.398420815757427E-3</v>
      </c>
      <c r="H60">
        <f t="shared" ref="H60:H77" si="4">E60/$E$78</f>
        <v>8.13058329052051E-2</v>
      </c>
    </row>
    <row r="61" spans="1:13" x14ac:dyDescent="0.3">
      <c r="A61" s="4">
        <v>22500</v>
      </c>
      <c r="B61" s="27">
        <f t="shared" si="0"/>
        <v>240.19999999999996</v>
      </c>
      <c r="C61" s="27">
        <f t="shared" si="1"/>
        <v>302.762</v>
      </c>
      <c r="D61" s="8">
        <f t="shared" ref="D61:D77" si="5">(B61/(18139+4031))*100</f>
        <v>1.0834460983310779</v>
      </c>
      <c r="E61" s="8">
        <f t="shared" si="2"/>
        <v>1.365638249887235</v>
      </c>
      <c r="F61">
        <v>22500</v>
      </c>
      <c r="G61">
        <f t="shared" si="3"/>
        <v>1.3248115921565858E-2</v>
      </c>
      <c r="H61">
        <f t="shared" si="4"/>
        <v>7.510630438789484E-2</v>
      </c>
    </row>
    <row r="62" spans="1:13" x14ac:dyDescent="0.3">
      <c r="A62" s="6">
        <v>27500</v>
      </c>
      <c r="B62" s="27">
        <f t="shared" si="0"/>
        <v>526.32299999999998</v>
      </c>
      <c r="C62" s="27">
        <f t="shared" si="1"/>
        <v>347.58299999999997</v>
      </c>
      <c r="D62" s="8">
        <f t="shared" si="5"/>
        <v>2.3740324763193503</v>
      </c>
      <c r="E62" s="8">
        <f t="shared" si="2"/>
        <v>1.5678078484438429</v>
      </c>
      <c r="F62">
        <v>27500</v>
      </c>
      <c r="G62">
        <f t="shared" si="3"/>
        <v>2.9029092906687374E-2</v>
      </c>
      <c r="H62">
        <f t="shared" si="4"/>
        <v>8.622506985043582E-2</v>
      </c>
    </row>
    <row r="63" spans="1:13" x14ac:dyDescent="0.3">
      <c r="A63" s="4">
        <v>32500</v>
      </c>
      <c r="B63" s="27">
        <f t="shared" si="0"/>
        <v>912.48200000000008</v>
      </c>
      <c r="C63" s="27">
        <f t="shared" si="1"/>
        <v>326.72299999999996</v>
      </c>
      <c r="D63" s="8">
        <f t="shared" si="5"/>
        <v>4.1158412268831759</v>
      </c>
      <c r="E63" s="8">
        <f t="shared" si="2"/>
        <v>1.4737167343256652</v>
      </c>
      <c r="F63">
        <v>32500</v>
      </c>
      <c r="G63">
        <f t="shared" si="3"/>
        <v>5.032750754513847E-2</v>
      </c>
      <c r="H63">
        <f t="shared" si="4"/>
        <v>8.1050320345770491E-2</v>
      </c>
    </row>
    <row r="64" spans="1:13" x14ac:dyDescent="0.3">
      <c r="A64" s="6">
        <v>37500</v>
      </c>
      <c r="B64" s="27">
        <f t="shared" si="0"/>
        <v>1318.3029999999999</v>
      </c>
      <c r="C64" s="27">
        <f t="shared" si="1"/>
        <v>349.1869999999999</v>
      </c>
      <c r="D64" s="8">
        <f t="shared" si="5"/>
        <v>5.946337392873251</v>
      </c>
      <c r="E64" s="8">
        <f t="shared" si="2"/>
        <v>1.5750428506991425</v>
      </c>
      <c r="F64">
        <v>37500</v>
      </c>
      <c r="G64">
        <f t="shared" si="3"/>
        <v>7.2710370373638783E-2</v>
      </c>
      <c r="H64">
        <f t="shared" si="4"/>
        <v>8.6622974845904796E-2</v>
      </c>
    </row>
    <row r="65" spans="1:8" x14ac:dyDescent="0.3">
      <c r="A65" s="4">
        <v>42500</v>
      </c>
      <c r="B65" s="27">
        <f t="shared" si="0"/>
        <v>1562.277</v>
      </c>
      <c r="C65" s="27">
        <f t="shared" si="1"/>
        <v>331.86099999999999</v>
      </c>
      <c r="D65" s="8">
        <f t="shared" si="5"/>
        <v>7.04680649526387</v>
      </c>
      <c r="E65" s="8">
        <f t="shared" si="2"/>
        <v>1.496892196662156</v>
      </c>
      <c r="F65">
        <v>42500</v>
      </c>
      <c r="G65">
        <f t="shared" si="3"/>
        <v>8.6166639457103025E-2</v>
      </c>
      <c r="H65">
        <f t="shared" si="4"/>
        <v>8.2324906297590747E-2</v>
      </c>
    </row>
    <row r="66" spans="1:8" x14ac:dyDescent="0.3">
      <c r="A66" s="6">
        <v>47500</v>
      </c>
      <c r="B66" s="27">
        <f t="shared" si="0"/>
        <v>1553.7160000000001</v>
      </c>
      <c r="C66" s="27">
        <f t="shared" si="1"/>
        <v>300.72700000000003</v>
      </c>
      <c r="D66" s="8">
        <f t="shared" si="5"/>
        <v>7.0081912494361758</v>
      </c>
      <c r="E66" s="8">
        <f t="shared" si="2"/>
        <v>1.3564591790708167</v>
      </c>
      <c r="F66">
        <v>47500</v>
      </c>
      <c r="G66">
        <f t="shared" si="3"/>
        <v>8.5694461603628744E-2</v>
      </c>
      <c r="H66">
        <f t="shared" si="4"/>
        <v>7.4601481030177025E-2</v>
      </c>
    </row>
    <row r="67" spans="1:8" x14ac:dyDescent="0.3">
      <c r="A67" s="4">
        <v>52500</v>
      </c>
      <c r="B67" s="27">
        <f t="shared" si="0"/>
        <v>1617.2640000000001</v>
      </c>
      <c r="C67" s="27">
        <f t="shared" si="1"/>
        <v>248.42700000000002</v>
      </c>
      <c r="D67" s="8">
        <f t="shared" si="5"/>
        <v>7.2948308525033836</v>
      </c>
      <c r="E67" s="8">
        <f t="shared" si="2"/>
        <v>1.1205548037889039</v>
      </c>
      <c r="F67">
        <v>52500</v>
      </c>
      <c r="G67">
        <f t="shared" si="3"/>
        <v>8.9199421098148587E-2</v>
      </c>
      <c r="H67">
        <f t="shared" si="4"/>
        <v>6.1627396701605726E-2</v>
      </c>
    </row>
    <row r="68" spans="1:8" x14ac:dyDescent="0.3">
      <c r="A68" s="6">
        <v>57500</v>
      </c>
      <c r="B68" s="27">
        <f t="shared" si="0"/>
        <v>1554.519</v>
      </c>
      <c r="C68" s="27">
        <f t="shared" si="1"/>
        <v>247.73600000000002</v>
      </c>
      <c r="D68" s="8">
        <f t="shared" si="5"/>
        <v>7.0118132611637352</v>
      </c>
      <c r="E68" s="8">
        <f t="shared" si="2"/>
        <v>1.1174379792512406</v>
      </c>
      <c r="F68">
        <v>57500</v>
      </c>
      <c r="G68">
        <f t="shared" si="3"/>
        <v>8.5738750683916065E-2</v>
      </c>
      <c r="H68">
        <f t="shared" si="4"/>
        <v>6.1455980023383115E-2</v>
      </c>
    </row>
    <row r="69" spans="1:8" x14ac:dyDescent="0.3">
      <c r="A69" s="4">
        <v>62500</v>
      </c>
      <c r="B69" s="27">
        <f t="shared" si="0"/>
        <v>1234.4010000000003</v>
      </c>
      <c r="C69" s="27">
        <f t="shared" si="1"/>
        <v>176.476</v>
      </c>
      <c r="D69" s="8">
        <f t="shared" si="5"/>
        <v>5.5678890392422211</v>
      </c>
      <c r="E69" s="8">
        <f t="shared" si="2"/>
        <v>0.7960126296797474</v>
      </c>
      <c r="F69">
        <v>62500</v>
      </c>
      <c r="G69">
        <f t="shared" si="3"/>
        <v>6.8082795760602929E-2</v>
      </c>
      <c r="H69">
        <f t="shared" si="4"/>
        <v>4.3778480037647165E-2</v>
      </c>
    </row>
    <row r="70" spans="1:8" x14ac:dyDescent="0.3">
      <c r="A70" s="6">
        <v>67500</v>
      </c>
      <c r="B70" s="27">
        <f t="shared" si="0"/>
        <v>1191.3150000000001</v>
      </c>
      <c r="C70" s="27">
        <f t="shared" si="1"/>
        <v>156.74600000000001</v>
      </c>
      <c r="D70" s="8">
        <f t="shared" si="5"/>
        <v>5.3735453315290931</v>
      </c>
      <c r="E70" s="8">
        <f t="shared" si="2"/>
        <v>0.70701849345963019</v>
      </c>
      <c r="F70">
        <v>67500</v>
      </c>
      <c r="G70">
        <f t="shared" si="3"/>
        <v>6.5706408072856923E-2</v>
      </c>
      <c r="H70">
        <f t="shared" si="4"/>
        <v>3.888405013702171E-2</v>
      </c>
    </row>
    <row r="71" spans="1:8" x14ac:dyDescent="0.3">
      <c r="A71" s="4">
        <v>75000</v>
      </c>
      <c r="B71" s="27">
        <f t="shared" si="0"/>
        <v>1701.02</v>
      </c>
      <c r="C71" s="27">
        <f t="shared" si="1"/>
        <v>246.57499999999999</v>
      </c>
      <c r="D71" s="8">
        <f t="shared" si="5"/>
        <v>7.6726206585475865</v>
      </c>
      <c r="E71" s="8">
        <f t="shared" si="2"/>
        <v>1.1122011727559766</v>
      </c>
      <c r="F71">
        <v>75000</v>
      </c>
      <c r="G71">
        <f t="shared" si="3"/>
        <v>9.381894315113222E-2</v>
      </c>
      <c r="H71">
        <f t="shared" si="4"/>
        <v>6.1167970235515595E-2</v>
      </c>
    </row>
    <row r="72" spans="1:8" x14ac:dyDescent="0.3">
      <c r="A72" s="6">
        <v>85000</v>
      </c>
      <c r="B72" s="27">
        <f t="shared" si="0"/>
        <v>1168.106</v>
      </c>
      <c r="C72" s="27">
        <f t="shared" si="1"/>
        <v>171.215</v>
      </c>
      <c r="D72" s="8">
        <f t="shared" si="5"/>
        <v>5.2688588182228235</v>
      </c>
      <c r="E72" s="8">
        <f t="shared" si="2"/>
        <v>0.77228236355435276</v>
      </c>
      <c r="F72">
        <v>85000</v>
      </c>
      <c r="G72">
        <f t="shared" si="3"/>
        <v>6.4426326797154918E-2</v>
      </c>
      <c r="H72">
        <f t="shared" si="4"/>
        <v>4.2473381420962394E-2</v>
      </c>
    </row>
    <row r="73" spans="1:8" x14ac:dyDescent="0.3">
      <c r="A73" s="4">
        <v>95000</v>
      </c>
      <c r="B73" s="27">
        <f t="shared" si="0"/>
        <v>848.59300000000007</v>
      </c>
      <c r="C73" s="27">
        <f t="shared" si="1"/>
        <v>119.17299999999999</v>
      </c>
      <c r="D73" s="8">
        <f t="shared" si="5"/>
        <v>3.8276635092467299</v>
      </c>
      <c r="E73" s="8">
        <f t="shared" si="2"/>
        <v>0.53754172304916548</v>
      </c>
      <c r="F73">
        <v>95000</v>
      </c>
      <c r="G73">
        <f t="shared" si="3"/>
        <v>4.6803740358989751E-2</v>
      </c>
      <c r="H73">
        <f t="shared" si="4"/>
        <v>2.9563299267472771E-2</v>
      </c>
    </row>
    <row r="74" spans="1:8" x14ac:dyDescent="0.3">
      <c r="A74" s="6">
        <v>110000</v>
      </c>
      <c r="B74" s="27">
        <f t="shared" si="0"/>
        <v>1052.501</v>
      </c>
      <c r="C74" s="27">
        <f t="shared" si="1"/>
        <v>146.37199999999999</v>
      </c>
      <c r="D74" s="8">
        <f t="shared" si="5"/>
        <v>4.7474109156517814</v>
      </c>
      <c r="E74" s="8">
        <f t="shared" si="2"/>
        <v>0.66022552999548934</v>
      </c>
      <c r="F74">
        <v>110000</v>
      </c>
      <c r="G74">
        <f t="shared" si="3"/>
        <v>5.8050188407843414E-2</v>
      </c>
      <c r="H74">
        <f t="shared" si="4"/>
        <v>3.6310567329668003E-2</v>
      </c>
    </row>
    <row r="75" spans="1:8" x14ac:dyDescent="0.3">
      <c r="A75" s="4">
        <v>135000</v>
      </c>
      <c r="B75" s="27">
        <f t="shared" si="0"/>
        <v>699.58100000000002</v>
      </c>
      <c r="C75" s="27">
        <f t="shared" si="1"/>
        <v>108.40299999999999</v>
      </c>
      <c r="D75" s="8">
        <f t="shared" si="5"/>
        <v>3.1555299954893998</v>
      </c>
      <c r="E75" s="8">
        <f t="shared" si="2"/>
        <v>0.48896256202074867</v>
      </c>
      <c r="F75">
        <v>130000</v>
      </c>
      <c r="G75">
        <f t="shared" si="3"/>
        <v>3.8585054889779202E-2</v>
      </c>
      <c r="H75">
        <f t="shared" si="4"/>
        <v>2.6891580563482086E-2</v>
      </c>
    </row>
    <row r="76" spans="1:8" x14ac:dyDescent="0.3">
      <c r="A76" s="6">
        <v>175000</v>
      </c>
      <c r="B76" s="27">
        <f t="shared" si="0"/>
        <v>445.82</v>
      </c>
      <c r="C76" s="27">
        <f t="shared" si="1"/>
        <v>48.068999999999988</v>
      </c>
      <c r="D76" s="8">
        <f t="shared" si="5"/>
        <v>2.0109156517816871</v>
      </c>
      <c r="E76" s="8">
        <f t="shared" si="2"/>
        <v>0.2168200270635994</v>
      </c>
      <c r="F76">
        <v>175000</v>
      </c>
      <c r="G76">
        <f t="shared" si="3"/>
        <v>2.4588988510210207E-2</v>
      </c>
      <c r="H76">
        <f t="shared" si="4"/>
        <v>1.1924498271321091E-2</v>
      </c>
    </row>
    <row r="77" spans="1:8" x14ac:dyDescent="0.3">
      <c r="A77" s="4">
        <v>300000</v>
      </c>
      <c r="B77" s="27">
        <f t="shared" si="0"/>
        <v>381.20499999999993</v>
      </c>
      <c r="C77" s="27">
        <f t="shared" si="1"/>
        <v>57.456000000000003</v>
      </c>
      <c r="D77" s="8">
        <f t="shared" si="5"/>
        <v>1.7194632386107349</v>
      </c>
      <c r="E77" s="8">
        <f t="shared" si="2"/>
        <v>0.25916102841677946</v>
      </c>
      <c r="F77">
        <v>300000</v>
      </c>
      <c r="G77">
        <f t="shared" si="3"/>
        <v>2.1025179141883898E-2</v>
      </c>
      <c r="H77">
        <f t="shared" si="4"/>
        <v>1.4253135548420498E-2</v>
      </c>
    </row>
    <row r="78" spans="1:8" x14ac:dyDescent="0.3">
      <c r="A78" s="7" t="s">
        <v>19</v>
      </c>
      <c r="B78" s="28">
        <f>SUM(B59:B77)</f>
        <v>18130.879999999997</v>
      </c>
      <c r="C78" s="27">
        <f>SUM(C59:C77)</f>
        <v>4031.1129999999994</v>
      </c>
      <c r="D78" s="9">
        <f>SUM(D59:D77)</f>
        <v>81.781145692377081</v>
      </c>
      <c r="E78" s="9">
        <f>SUM(E59:E77)</f>
        <v>18.182737934145244</v>
      </c>
      <c r="F78" s="9">
        <f t="shared" ref="F78:H78" si="6">SUM(F59:F77)</f>
        <v>1440000</v>
      </c>
      <c r="G78" s="9">
        <f t="shared" si="6"/>
        <v>1</v>
      </c>
      <c r="H78" s="9">
        <f t="shared" si="6"/>
        <v>0.99999999999999978</v>
      </c>
    </row>
    <row r="79" spans="1:8" x14ac:dyDescent="0.3">
      <c r="A79" s="17" t="s">
        <v>333</v>
      </c>
      <c r="B79">
        <f>PEARSON($A$59:$A$77,B59:B77)</f>
        <v>-0.1417634542371545</v>
      </c>
      <c r="C79">
        <f>PEARSON($A$59:$A$77,C59:C77)</f>
        <v>-0.6139272741428935</v>
      </c>
      <c r="D79" s="25">
        <f>SUM(D78:E78)</f>
        <v>99.963883626522318</v>
      </c>
      <c r="E79" s="25"/>
    </row>
    <row r="81" spans="1:3" x14ac:dyDescent="0.3">
      <c r="A81" t="s">
        <v>334</v>
      </c>
      <c r="B81">
        <f>B79*SQRT(B78-2)/SQRT(1-(B79^2))</f>
        <v>-19.282271919439978</v>
      </c>
      <c r="C81">
        <f>C79*SQRT(C78-2)/SQRT(1-(C79^2))</f>
        <v>-49.367951879682323</v>
      </c>
    </row>
    <row r="82" spans="1:3" x14ac:dyDescent="0.3">
      <c r="A82" t="s">
        <v>335</v>
      </c>
      <c r="B82">
        <f>_xlfn.T.DIST.2T(ABS(B81),B78-2)</f>
        <v>5.0139657021509852E-82</v>
      </c>
      <c r="C82" s="23">
        <f>_xlfn.T.DIST.2T(ABS(C81),C78-2)</f>
        <v>0</v>
      </c>
    </row>
    <row r="86" spans="1:3" x14ac:dyDescent="0.3">
      <c r="B86" s="17"/>
    </row>
  </sheetData>
  <mergeCells count="1">
    <mergeCell ref="D79:E79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5"/>
  <sheetViews>
    <sheetView tabSelected="1" topLeftCell="A74" zoomScale="80" zoomScaleNormal="80" workbookViewId="0">
      <selection activeCell="E108" sqref="E108"/>
    </sheetView>
  </sheetViews>
  <sheetFormatPr defaultRowHeight="14.4" x14ac:dyDescent="0.3"/>
  <cols>
    <col min="1" max="1" width="42.88671875" bestFit="1" customWidth="1"/>
    <col min="2" max="2" width="11.109375" bestFit="1" customWidth="1"/>
    <col min="3" max="3" width="23" bestFit="1" customWidth="1"/>
    <col min="4" max="4" width="24.88671875" customWidth="1"/>
    <col min="5" max="5" width="19.109375" customWidth="1"/>
    <col min="6" max="6" width="19.44140625" customWidth="1"/>
    <col min="7" max="7" width="17.88671875" customWidth="1"/>
    <col min="8" max="8" width="20.44140625" customWidth="1"/>
    <col min="9" max="9" width="21.44140625" customWidth="1"/>
    <col min="10" max="10" width="17.109375" customWidth="1"/>
    <col min="11" max="11" width="22.109375" customWidth="1"/>
    <col min="12" max="13" width="17" customWidth="1"/>
    <col min="14" max="14" width="17.88671875" customWidth="1"/>
    <col min="15" max="15" width="19.44140625" bestFit="1" customWidth="1"/>
    <col min="16" max="16" width="17.88671875" customWidth="1"/>
    <col min="17" max="17" width="14.55468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6" t="s">
        <v>16</v>
      </c>
      <c r="B2" s="9"/>
      <c r="C2" s="9"/>
      <c r="D2" s="9"/>
      <c r="E2" s="9"/>
      <c r="F2" s="9"/>
      <c r="G2" s="9"/>
      <c r="H2" s="9"/>
      <c r="I2" s="9"/>
    </row>
    <row r="3" spans="1:9" x14ac:dyDescent="0.3">
      <c r="A3" s="6" t="s">
        <v>279</v>
      </c>
      <c r="B3" s="9"/>
      <c r="C3" s="9"/>
      <c r="D3" s="9"/>
      <c r="E3" s="8"/>
      <c r="F3" s="8"/>
      <c r="G3" s="8"/>
      <c r="H3" s="8"/>
      <c r="I3" s="8"/>
    </row>
    <row r="4" spans="1:9" x14ac:dyDescent="0.3">
      <c r="A4" s="6"/>
      <c r="B4" s="9"/>
      <c r="C4" s="9"/>
      <c r="D4" s="9"/>
      <c r="E4" s="9"/>
      <c r="F4" s="9"/>
      <c r="G4" s="9"/>
      <c r="H4" s="9"/>
      <c r="I4" s="9"/>
    </row>
    <row r="5" spans="1:9" x14ac:dyDescent="0.3">
      <c r="A5" s="6"/>
      <c r="B5" s="9" t="s">
        <v>19</v>
      </c>
      <c r="C5" s="9" t="s">
        <v>260</v>
      </c>
      <c r="D5" s="9" t="s">
        <v>280</v>
      </c>
      <c r="E5" s="9" t="s">
        <v>241</v>
      </c>
      <c r="F5" s="9" t="s">
        <v>283</v>
      </c>
      <c r="G5" s="9" t="s">
        <v>281</v>
      </c>
      <c r="H5" s="9" t="s">
        <v>282</v>
      </c>
      <c r="I5" s="9" t="s">
        <v>242</v>
      </c>
    </row>
    <row r="6" spans="1:9" x14ac:dyDescent="0.3">
      <c r="A6" s="6" t="s">
        <v>232</v>
      </c>
      <c r="B6" s="9" t="s">
        <v>30</v>
      </c>
      <c r="C6" s="9" t="s">
        <v>30</v>
      </c>
      <c r="D6" s="9" t="s">
        <v>31</v>
      </c>
      <c r="E6" s="9" t="s">
        <v>30</v>
      </c>
      <c r="F6" s="9" t="s">
        <v>30</v>
      </c>
      <c r="G6" s="9" t="s">
        <v>30</v>
      </c>
      <c r="H6" s="9" t="s">
        <v>31</v>
      </c>
      <c r="I6" s="9" t="s">
        <v>31</v>
      </c>
    </row>
    <row r="7" spans="1:9" x14ac:dyDescent="0.3">
      <c r="A7" s="4" t="s">
        <v>32</v>
      </c>
      <c r="B7" s="8" t="s">
        <v>33</v>
      </c>
      <c r="C7" s="8" t="s">
        <v>182</v>
      </c>
      <c r="D7" s="8" t="s">
        <v>30</v>
      </c>
      <c r="E7" s="8" t="s">
        <v>182</v>
      </c>
      <c r="F7" s="8" t="s">
        <v>45</v>
      </c>
      <c r="G7" s="8" t="s">
        <v>37</v>
      </c>
      <c r="H7" s="8" t="s">
        <v>52</v>
      </c>
      <c r="I7" s="8" t="s">
        <v>42</v>
      </c>
    </row>
    <row r="8" spans="1:9" x14ac:dyDescent="0.3">
      <c r="A8" s="6" t="s">
        <v>39</v>
      </c>
      <c r="B8" s="9" t="s">
        <v>40</v>
      </c>
      <c r="C8" s="9" t="s">
        <v>44</v>
      </c>
      <c r="D8" s="9" t="s">
        <v>44</v>
      </c>
      <c r="E8" s="9" t="s">
        <v>45</v>
      </c>
      <c r="F8" s="9" t="s">
        <v>183</v>
      </c>
      <c r="G8" s="9" t="s">
        <v>42</v>
      </c>
      <c r="H8" s="9" t="s">
        <v>121</v>
      </c>
      <c r="I8" s="9" t="s">
        <v>38</v>
      </c>
    </row>
    <row r="9" spans="1:9" x14ac:dyDescent="0.3">
      <c r="A9" s="4" t="s">
        <v>48</v>
      </c>
      <c r="B9" s="8" t="s">
        <v>38</v>
      </c>
      <c r="C9" s="8" t="s">
        <v>45</v>
      </c>
      <c r="D9" s="8" t="s">
        <v>37</v>
      </c>
      <c r="E9" s="8" t="s">
        <v>63</v>
      </c>
      <c r="F9" s="8" t="s">
        <v>38</v>
      </c>
      <c r="G9" s="8" t="s">
        <v>150</v>
      </c>
      <c r="H9" s="8" t="s">
        <v>61</v>
      </c>
      <c r="I9" s="8" t="s">
        <v>90</v>
      </c>
    </row>
    <row r="10" spans="1:9" x14ac:dyDescent="0.3">
      <c r="A10" s="6" t="s">
        <v>57</v>
      </c>
      <c r="B10" s="9" t="s">
        <v>58</v>
      </c>
      <c r="C10" s="9" t="s">
        <v>183</v>
      </c>
      <c r="D10" s="9" t="s">
        <v>141</v>
      </c>
      <c r="E10" s="9" t="s">
        <v>54</v>
      </c>
      <c r="F10" s="9" t="s">
        <v>194</v>
      </c>
      <c r="G10" s="9" t="s">
        <v>70</v>
      </c>
      <c r="H10" s="9" t="s">
        <v>100</v>
      </c>
      <c r="I10" s="9" t="s">
        <v>113</v>
      </c>
    </row>
    <row r="11" spans="1:9" x14ac:dyDescent="0.3">
      <c r="A11" s="4" t="s">
        <v>69</v>
      </c>
      <c r="B11" s="8" t="s">
        <v>70</v>
      </c>
      <c r="C11" s="8" t="s">
        <v>34</v>
      </c>
      <c r="D11" s="8" t="s">
        <v>144</v>
      </c>
      <c r="E11" s="8" t="s">
        <v>119</v>
      </c>
      <c r="F11" s="8" t="s">
        <v>101</v>
      </c>
      <c r="G11" s="8" t="s">
        <v>191</v>
      </c>
      <c r="H11" s="8" t="s">
        <v>66</v>
      </c>
      <c r="I11" s="8" t="s">
        <v>200</v>
      </c>
    </row>
    <row r="12" spans="1:9" x14ac:dyDescent="0.3">
      <c r="A12" s="6" t="s">
        <v>80</v>
      </c>
      <c r="B12" s="9" t="s">
        <v>81</v>
      </c>
      <c r="C12" s="9" t="s">
        <v>41</v>
      </c>
      <c r="D12" s="9" t="s">
        <v>137</v>
      </c>
      <c r="E12" s="9" t="s">
        <v>108</v>
      </c>
      <c r="F12" s="9" t="s">
        <v>129</v>
      </c>
      <c r="G12" s="9" t="s">
        <v>123</v>
      </c>
      <c r="H12" s="9" t="s">
        <v>243</v>
      </c>
      <c r="I12" s="9" t="s">
        <v>104</v>
      </c>
    </row>
    <row r="13" spans="1:9" x14ac:dyDescent="0.3">
      <c r="A13" s="4" t="s">
        <v>89</v>
      </c>
      <c r="B13" s="8" t="s">
        <v>81</v>
      </c>
      <c r="C13" s="8" t="s">
        <v>58</v>
      </c>
      <c r="D13" s="8" t="s">
        <v>92</v>
      </c>
      <c r="E13" s="8" t="s">
        <v>185</v>
      </c>
      <c r="F13" s="8" t="s">
        <v>243</v>
      </c>
      <c r="G13" s="8" t="s">
        <v>200</v>
      </c>
      <c r="H13" s="8" t="s">
        <v>66</v>
      </c>
      <c r="I13" s="8" t="s">
        <v>202</v>
      </c>
    </row>
    <row r="14" spans="1:9" x14ac:dyDescent="0.3">
      <c r="A14" s="6" t="s">
        <v>98</v>
      </c>
      <c r="B14" s="9" t="s">
        <v>84</v>
      </c>
      <c r="C14" s="9" t="s">
        <v>206</v>
      </c>
      <c r="D14" s="9" t="s">
        <v>112</v>
      </c>
      <c r="E14" s="9" t="s">
        <v>244</v>
      </c>
      <c r="F14" s="9" t="s">
        <v>245</v>
      </c>
      <c r="G14" s="9" t="s">
        <v>66</v>
      </c>
      <c r="H14" s="9" t="s">
        <v>77</v>
      </c>
      <c r="I14" s="9" t="s">
        <v>66</v>
      </c>
    </row>
    <row r="15" spans="1:9" x14ac:dyDescent="0.3">
      <c r="A15" s="4" t="s">
        <v>106</v>
      </c>
      <c r="B15" s="8" t="s">
        <v>81</v>
      </c>
      <c r="C15" s="8" t="s">
        <v>74</v>
      </c>
      <c r="D15" s="8" t="s">
        <v>245</v>
      </c>
      <c r="E15" s="8" t="s">
        <v>202</v>
      </c>
      <c r="F15" s="8" t="s">
        <v>244</v>
      </c>
      <c r="G15" s="8" t="s">
        <v>84</v>
      </c>
      <c r="H15" s="8" t="s">
        <v>134</v>
      </c>
      <c r="I15" s="8" t="s">
        <v>102</v>
      </c>
    </row>
    <row r="16" spans="1:9" x14ac:dyDescent="0.3">
      <c r="A16" s="6" t="s">
        <v>111</v>
      </c>
      <c r="B16" s="9" t="s">
        <v>99</v>
      </c>
      <c r="C16" s="9" t="s">
        <v>74</v>
      </c>
      <c r="D16" s="9" t="s">
        <v>119</v>
      </c>
      <c r="E16" s="9" t="s">
        <v>70</v>
      </c>
      <c r="F16" s="9" t="s">
        <v>136</v>
      </c>
      <c r="G16" s="9" t="s">
        <v>119</v>
      </c>
      <c r="H16" s="9" t="s">
        <v>102</v>
      </c>
      <c r="I16" s="9" t="s">
        <v>73</v>
      </c>
    </row>
    <row r="17" spans="1:9" x14ac:dyDescent="0.3">
      <c r="A17" s="4" t="s">
        <v>116</v>
      </c>
      <c r="B17" s="8" t="s">
        <v>117</v>
      </c>
      <c r="C17" s="8" t="s">
        <v>90</v>
      </c>
      <c r="D17" s="8" t="s">
        <v>74</v>
      </c>
      <c r="E17" s="8" t="s">
        <v>56</v>
      </c>
      <c r="F17" s="8" t="s">
        <v>100</v>
      </c>
      <c r="G17" s="8" t="s">
        <v>79</v>
      </c>
      <c r="H17" s="8" t="s">
        <v>107</v>
      </c>
      <c r="I17" s="8" t="s">
        <v>91</v>
      </c>
    </row>
    <row r="18" spans="1:9" x14ac:dyDescent="0.3">
      <c r="A18" s="6" t="s">
        <v>122</v>
      </c>
      <c r="B18" s="9" t="s">
        <v>123</v>
      </c>
      <c r="C18" s="9" t="s">
        <v>103</v>
      </c>
      <c r="D18" s="9" t="s">
        <v>103</v>
      </c>
      <c r="E18" s="9" t="s">
        <v>185</v>
      </c>
      <c r="F18" s="9" t="s">
        <v>101</v>
      </c>
      <c r="G18" s="9" t="s">
        <v>202</v>
      </c>
      <c r="H18" s="9" t="s">
        <v>202</v>
      </c>
      <c r="I18" s="9" t="s">
        <v>75</v>
      </c>
    </row>
    <row r="19" spans="1:9" x14ac:dyDescent="0.3">
      <c r="A19" s="4" t="s">
        <v>131</v>
      </c>
      <c r="B19" s="8" t="s">
        <v>82</v>
      </c>
      <c r="C19" s="8" t="s">
        <v>108</v>
      </c>
      <c r="D19" s="8" t="s">
        <v>66</v>
      </c>
      <c r="E19" s="8" t="s">
        <v>92</v>
      </c>
      <c r="F19" s="8" t="s">
        <v>60</v>
      </c>
      <c r="G19" s="8" t="s">
        <v>90</v>
      </c>
      <c r="H19" s="8" t="s">
        <v>54</v>
      </c>
      <c r="I19" s="8" t="s">
        <v>144</v>
      </c>
    </row>
    <row r="20" spans="1:9" x14ac:dyDescent="0.3">
      <c r="A20" s="6" t="s">
        <v>135</v>
      </c>
      <c r="B20" s="9" t="s">
        <v>54</v>
      </c>
      <c r="C20" s="9" t="s">
        <v>204</v>
      </c>
      <c r="D20" s="9" t="s">
        <v>79</v>
      </c>
      <c r="E20" s="9" t="s">
        <v>53</v>
      </c>
      <c r="F20" s="9" t="s">
        <v>145</v>
      </c>
      <c r="G20" s="9" t="s">
        <v>121</v>
      </c>
      <c r="H20" s="9" t="s">
        <v>133</v>
      </c>
      <c r="I20" s="9" t="s">
        <v>150</v>
      </c>
    </row>
    <row r="21" spans="1:9" x14ac:dyDescent="0.3">
      <c r="A21" s="4" t="s">
        <v>139</v>
      </c>
      <c r="B21" s="8" t="s">
        <v>73</v>
      </c>
      <c r="C21" s="8" t="s">
        <v>197</v>
      </c>
      <c r="D21" s="8" t="s">
        <v>123</v>
      </c>
      <c r="E21" s="8" t="s">
        <v>74</v>
      </c>
      <c r="F21" s="8" t="s">
        <v>145</v>
      </c>
      <c r="G21" s="8" t="s">
        <v>55</v>
      </c>
      <c r="H21" s="8" t="s">
        <v>153</v>
      </c>
      <c r="I21" s="8" t="s">
        <v>154</v>
      </c>
    </row>
    <row r="22" spans="1:9" x14ac:dyDescent="0.3">
      <c r="A22" s="6" t="s">
        <v>142</v>
      </c>
      <c r="B22" s="9" t="s">
        <v>143</v>
      </c>
      <c r="C22" s="9" t="s">
        <v>66</v>
      </c>
      <c r="D22" s="9" t="s">
        <v>70</v>
      </c>
      <c r="E22" s="9" t="s">
        <v>140</v>
      </c>
      <c r="F22" s="9" t="s">
        <v>51</v>
      </c>
      <c r="G22" s="9" t="s">
        <v>133</v>
      </c>
      <c r="H22" s="9" t="s">
        <v>207</v>
      </c>
      <c r="I22" s="9" t="s">
        <v>138</v>
      </c>
    </row>
    <row r="23" spans="1:9" x14ac:dyDescent="0.3">
      <c r="A23" s="4" t="s">
        <v>148</v>
      </c>
      <c r="B23" s="8" t="s">
        <v>141</v>
      </c>
      <c r="C23" s="8" t="s">
        <v>59</v>
      </c>
      <c r="D23" s="8" t="s">
        <v>38</v>
      </c>
      <c r="E23" s="8" t="s">
        <v>138</v>
      </c>
      <c r="F23" s="8" t="s">
        <v>35</v>
      </c>
      <c r="G23" s="8" t="s">
        <v>35</v>
      </c>
      <c r="H23" s="8" t="s">
        <v>146</v>
      </c>
      <c r="I23" s="8" t="s">
        <v>44</v>
      </c>
    </row>
    <row r="24" spans="1:9" x14ac:dyDescent="0.3">
      <c r="A24" s="6" t="s">
        <v>152</v>
      </c>
      <c r="B24" s="9" t="s">
        <v>51</v>
      </c>
      <c r="C24" s="9" t="s">
        <v>101</v>
      </c>
      <c r="D24" s="9" t="s">
        <v>47</v>
      </c>
      <c r="E24" s="9" t="s">
        <v>46</v>
      </c>
      <c r="F24" s="9" t="s">
        <v>45</v>
      </c>
      <c r="G24" s="9" t="s">
        <v>182</v>
      </c>
      <c r="H24" s="9" t="s">
        <v>33</v>
      </c>
      <c r="I24" s="9" t="s">
        <v>36</v>
      </c>
    </row>
    <row r="25" spans="1:9" x14ac:dyDescent="0.3">
      <c r="A25" s="4" t="s">
        <v>19</v>
      </c>
      <c r="B25" s="8" t="s">
        <v>155</v>
      </c>
      <c r="C25" s="8" t="s">
        <v>155</v>
      </c>
      <c r="D25" s="8" t="s">
        <v>155</v>
      </c>
      <c r="E25" s="8" t="s">
        <v>155</v>
      </c>
      <c r="F25" s="8" t="s">
        <v>155</v>
      </c>
      <c r="G25" s="8" t="s">
        <v>155</v>
      </c>
      <c r="H25" s="8" t="s">
        <v>155</v>
      </c>
      <c r="I25" s="8" t="s">
        <v>155</v>
      </c>
    </row>
    <row r="26" spans="1:9" x14ac:dyDescent="0.3">
      <c r="A26" s="6" t="s">
        <v>233</v>
      </c>
      <c r="B26" s="9" t="s">
        <v>156</v>
      </c>
      <c r="C26" s="9" t="s">
        <v>246</v>
      </c>
      <c r="D26" s="9" t="s">
        <v>247</v>
      </c>
      <c r="E26" s="9" t="s">
        <v>248</v>
      </c>
      <c r="F26" s="9" t="s">
        <v>249</v>
      </c>
      <c r="G26" s="9" t="s">
        <v>250</v>
      </c>
      <c r="H26" s="9" t="s">
        <v>251</v>
      </c>
      <c r="I26" s="9" t="s">
        <v>252</v>
      </c>
    </row>
    <row r="27" spans="1:9" x14ac:dyDescent="0.3">
      <c r="A27" s="4" t="s">
        <v>168</v>
      </c>
      <c r="B27" s="8" t="s">
        <v>169</v>
      </c>
      <c r="C27" s="8" t="s">
        <v>253</v>
      </c>
      <c r="D27" s="8" t="s">
        <v>254</v>
      </c>
      <c r="E27" s="8" t="s">
        <v>255</v>
      </c>
      <c r="F27" s="8" t="s">
        <v>256</v>
      </c>
      <c r="G27" s="8" t="s">
        <v>257</v>
      </c>
      <c r="H27" s="8" t="s">
        <v>258</v>
      </c>
      <c r="I27" s="8" t="s">
        <v>259</v>
      </c>
    </row>
    <row r="30" spans="1:9" x14ac:dyDescent="0.3">
      <c r="A30" s="6" t="s">
        <v>181</v>
      </c>
      <c r="B30" s="9"/>
      <c r="C30" s="9"/>
      <c r="D30" s="9"/>
      <c r="E30" s="9"/>
      <c r="F30" s="9"/>
      <c r="G30" s="9"/>
      <c r="H30" s="9"/>
      <c r="I30" s="9"/>
    </row>
    <row r="31" spans="1:9" x14ac:dyDescent="0.3">
      <c r="A31" s="4"/>
      <c r="B31" s="8"/>
      <c r="C31" s="8" t="s">
        <v>239</v>
      </c>
      <c r="D31" s="8"/>
      <c r="E31" s="8"/>
    </row>
    <row r="32" spans="1:9" x14ac:dyDescent="0.3">
      <c r="A32" s="6" t="s">
        <v>240</v>
      </c>
      <c r="B32" s="9"/>
      <c r="C32" s="9"/>
      <c r="D32" s="9"/>
      <c r="E32" s="9"/>
      <c r="F32" s="9"/>
      <c r="G32" s="9"/>
      <c r="H32" s="9"/>
      <c r="I32" s="9"/>
    </row>
    <row r="33" spans="1:9" x14ac:dyDescent="0.3">
      <c r="A33" s="4" t="s">
        <v>234</v>
      </c>
      <c r="B33" s="8"/>
      <c r="C33" s="8"/>
      <c r="D33" s="8"/>
      <c r="E33" s="8"/>
      <c r="F33" s="8"/>
      <c r="G33" s="8"/>
      <c r="H33" s="8"/>
      <c r="I33" s="8"/>
    </row>
    <row r="34" spans="1:9" x14ac:dyDescent="0.3">
      <c r="A34" s="6"/>
      <c r="B34" s="9" t="s">
        <v>19</v>
      </c>
      <c r="C34" s="9" t="s">
        <v>260</v>
      </c>
      <c r="D34" s="9" t="s">
        <v>280</v>
      </c>
      <c r="E34" s="9" t="s">
        <v>241</v>
      </c>
      <c r="F34" s="9" t="s">
        <v>283</v>
      </c>
      <c r="G34" s="9" t="s">
        <v>281</v>
      </c>
      <c r="H34" s="9" t="s">
        <v>282</v>
      </c>
      <c r="I34" s="9" t="s">
        <v>242</v>
      </c>
    </row>
    <row r="35" spans="1:9" x14ac:dyDescent="0.3">
      <c r="A35" s="6" t="s">
        <v>232</v>
      </c>
      <c r="B35" s="9" t="s">
        <v>37</v>
      </c>
      <c r="C35" s="9" t="s">
        <v>30</v>
      </c>
      <c r="D35" s="9" t="s">
        <v>30</v>
      </c>
      <c r="E35" s="9" t="s">
        <v>182</v>
      </c>
      <c r="F35" s="9" t="s">
        <v>30</v>
      </c>
      <c r="G35" s="9" t="s">
        <v>30</v>
      </c>
      <c r="H35" s="9" t="s">
        <v>30</v>
      </c>
      <c r="I35" s="9" t="s">
        <v>52</v>
      </c>
    </row>
    <row r="36" spans="1:9" x14ac:dyDescent="0.3">
      <c r="A36" s="4" t="s">
        <v>32</v>
      </c>
      <c r="B36" s="8" t="s">
        <v>71</v>
      </c>
      <c r="C36" s="8" t="s">
        <v>44</v>
      </c>
      <c r="D36" s="8" t="s">
        <v>30</v>
      </c>
      <c r="E36" s="8" t="s">
        <v>183</v>
      </c>
      <c r="F36" s="8" t="s">
        <v>64</v>
      </c>
      <c r="G36" s="8" t="s">
        <v>38</v>
      </c>
      <c r="H36" s="8" t="s">
        <v>59</v>
      </c>
      <c r="I36" s="8" t="s">
        <v>199</v>
      </c>
    </row>
    <row r="37" spans="1:9" x14ac:dyDescent="0.3">
      <c r="A37" s="6" t="s">
        <v>39</v>
      </c>
      <c r="B37" s="9" t="s">
        <v>119</v>
      </c>
      <c r="C37" s="9" t="s">
        <v>37</v>
      </c>
      <c r="D37" s="9" t="s">
        <v>64</v>
      </c>
      <c r="E37" s="9" t="s">
        <v>149</v>
      </c>
      <c r="F37" s="9" t="s">
        <v>82</v>
      </c>
      <c r="G37" s="9" t="s">
        <v>68</v>
      </c>
      <c r="H37" s="9" t="s">
        <v>123</v>
      </c>
      <c r="I37" s="9" t="s">
        <v>261</v>
      </c>
    </row>
    <row r="38" spans="1:9" x14ac:dyDescent="0.3">
      <c r="A38" s="4" t="s">
        <v>48</v>
      </c>
      <c r="B38" s="8" t="s">
        <v>81</v>
      </c>
      <c r="C38" s="8" t="s">
        <v>207</v>
      </c>
      <c r="D38" s="8" t="s">
        <v>44</v>
      </c>
      <c r="E38" s="8" t="s">
        <v>130</v>
      </c>
      <c r="F38" s="8" t="s">
        <v>120</v>
      </c>
      <c r="G38" s="8" t="s">
        <v>73</v>
      </c>
      <c r="H38" s="8" t="s">
        <v>84</v>
      </c>
      <c r="I38" s="8" t="s">
        <v>262</v>
      </c>
    </row>
    <row r="39" spans="1:9" x14ac:dyDescent="0.3">
      <c r="A39" s="6" t="s">
        <v>57</v>
      </c>
      <c r="B39" s="9" t="s">
        <v>71</v>
      </c>
      <c r="C39" s="9" t="s">
        <v>38</v>
      </c>
      <c r="D39" s="9" t="s">
        <v>154</v>
      </c>
      <c r="E39" s="9" t="s">
        <v>107</v>
      </c>
      <c r="F39" s="9" t="s">
        <v>67</v>
      </c>
      <c r="G39" s="9" t="s">
        <v>50</v>
      </c>
      <c r="H39" s="9" t="s">
        <v>84</v>
      </c>
      <c r="I39" s="9" t="s">
        <v>186</v>
      </c>
    </row>
    <row r="40" spans="1:9" x14ac:dyDescent="0.3">
      <c r="A40" s="4" t="s">
        <v>69</v>
      </c>
      <c r="B40" s="8" t="s">
        <v>134</v>
      </c>
      <c r="C40" s="8" t="s">
        <v>136</v>
      </c>
      <c r="D40" s="8" t="s">
        <v>263</v>
      </c>
      <c r="E40" s="8" t="s">
        <v>134</v>
      </c>
      <c r="F40" s="8" t="s">
        <v>66</v>
      </c>
      <c r="G40" s="8" t="s">
        <v>75</v>
      </c>
      <c r="H40" s="8" t="s">
        <v>109</v>
      </c>
      <c r="I40" s="8" t="s">
        <v>81</v>
      </c>
    </row>
    <row r="41" spans="1:9" x14ac:dyDescent="0.3">
      <c r="A41" s="6" t="s">
        <v>80</v>
      </c>
      <c r="B41" s="9" t="s">
        <v>75</v>
      </c>
      <c r="C41" s="9" t="s">
        <v>100</v>
      </c>
      <c r="D41" s="9" t="s">
        <v>120</v>
      </c>
      <c r="E41" s="9" t="s">
        <v>93</v>
      </c>
      <c r="F41" s="9" t="s">
        <v>75</v>
      </c>
      <c r="G41" s="9" t="s">
        <v>110</v>
      </c>
      <c r="H41" s="9" t="s">
        <v>191</v>
      </c>
      <c r="I41" s="9" t="s">
        <v>59</v>
      </c>
    </row>
    <row r="42" spans="1:9" x14ac:dyDescent="0.3">
      <c r="A42" s="4" t="s">
        <v>89</v>
      </c>
      <c r="B42" s="8" t="s">
        <v>119</v>
      </c>
      <c r="C42" s="8" t="s">
        <v>130</v>
      </c>
      <c r="D42" s="8" t="s">
        <v>185</v>
      </c>
      <c r="E42" s="8" t="s">
        <v>109</v>
      </c>
      <c r="F42" s="8" t="s">
        <v>71</v>
      </c>
      <c r="G42" s="8" t="s">
        <v>264</v>
      </c>
      <c r="H42" s="8" t="s">
        <v>102</v>
      </c>
      <c r="I42" s="8" t="s">
        <v>82</v>
      </c>
    </row>
    <row r="43" spans="1:9" x14ac:dyDescent="0.3">
      <c r="A43" s="6" t="s">
        <v>98</v>
      </c>
      <c r="B43" s="9" t="s">
        <v>65</v>
      </c>
      <c r="C43" s="9" t="s">
        <v>90</v>
      </c>
      <c r="D43" s="9" t="s">
        <v>65</v>
      </c>
      <c r="E43" s="9" t="s">
        <v>79</v>
      </c>
      <c r="F43" s="9" t="s">
        <v>79</v>
      </c>
      <c r="G43" s="9" t="s">
        <v>79</v>
      </c>
      <c r="H43" s="9" t="s">
        <v>58</v>
      </c>
      <c r="I43" s="9" t="s">
        <v>90</v>
      </c>
    </row>
    <row r="44" spans="1:9" x14ac:dyDescent="0.3">
      <c r="A44" s="4" t="s">
        <v>106</v>
      </c>
      <c r="B44" s="8" t="s">
        <v>65</v>
      </c>
      <c r="C44" s="8" t="s">
        <v>92</v>
      </c>
      <c r="D44" s="8" t="s">
        <v>196</v>
      </c>
      <c r="E44" s="8" t="s">
        <v>191</v>
      </c>
      <c r="F44" s="8" t="s">
        <v>72</v>
      </c>
      <c r="G44" s="8" t="s">
        <v>99</v>
      </c>
      <c r="H44" s="8" t="s">
        <v>99</v>
      </c>
      <c r="I44" s="8" t="s">
        <v>54</v>
      </c>
    </row>
    <row r="45" spans="1:9" x14ac:dyDescent="0.3">
      <c r="A45" s="6" t="s">
        <v>111</v>
      </c>
      <c r="B45" s="9" t="s">
        <v>137</v>
      </c>
      <c r="C45" s="9" t="s">
        <v>194</v>
      </c>
      <c r="D45" s="9" t="s">
        <v>41</v>
      </c>
      <c r="E45" s="9" t="s">
        <v>114</v>
      </c>
      <c r="F45" s="9" t="s">
        <v>119</v>
      </c>
      <c r="G45" s="9" t="s">
        <v>129</v>
      </c>
      <c r="H45" s="9" t="s">
        <v>149</v>
      </c>
      <c r="I45" s="9" t="s">
        <v>140</v>
      </c>
    </row>
    <row r="46" spans="1:9" x14ac:dyDescent="0.3">
      <c r="A46" s="4" t="s">
        <v>116</v>
      </c>
      <c r="B46" s="8" t="s">
        <v>143</v>
      </c>
      <c r="C46" s="8" t="s">
        <v>206</v>
      </c>
      <c r="D46" s="8" t="s">
        <v>43</v>
      </c>
      <c r="E46" s="8" t="s">
        <v>107</v>
      </c>
      <c r="F46" s="8" t="s">
        <v>143</v>
      </c>
      <c r="G46" s="8" t="s">
        <v>50</v>
      </c>
      <c r="H46" s="8" t="s">
        <v>205</v>
      </c>
      <c r="I46" s="8" t="s">
        <v>62</v>
      </c>
    </row>
    <row r="47" spans="1:9" x14ac:dyDescent="0.3">
      <c r="A47" s="6" t="s">
        <v>122</v>
      </c>
      <c r="B47" s="9" t="s">
        <v>74</v>
      </c>
      <c r="C47" s="9" t="s">
        <v>200</v>
      </c>
      <c r="D47" s="9" t="s">
        <v>103</v>
      </c>
      <c r="E47" s="9" t="s">
        <v>102</v>
      </c>
      <c r="F47" s="9" t="s">
        <v>107</v>
      </c>
      <c r="G47" s="9" t="s">
        <v>203</v>
      </c>
      <c r="H47" s="9" t="s">
        <v>90</v>
      </c>
      <c r="I47" s="9" t="s">
        <v>50</v>
      </c>
    </row>
    <row r="48" spans="1:9" x14ac:dyDescent="0.3">
      <c r="A48" s="4" t="s">
        <v>131</v>
      </c>
      <c r="B48" s="8" t="s">
        <v>53</v>
      </c>
      <c r="C48" s="8" t="s">
        <v>117</v>
      </c>
      <c r="D48" s="8" t="s">
        <v>92</v>
      </c>
      <c r="E48" s="8" t="s">
        <v>65</v>
      </c>
      <c r="F48" s="8" t="s">
        <v>130</v>
      </c>
      <c r="G48" s="8" t="s">
        <v>54</v>
      </c>
      <c r="H48" s="8" t="s">
        <v>154</v>
      </c>
      <c r="I48" s="8" t="s">
        <v>38</v>
      </c>
    </row>
    <row r="49" spans="1:18" x14ac:dyDescent="0.3">
      <c r="A49" s="6" t="s">
        <v>135</v>
      </c>
      <c r="B49" s="9" t="s">
        <v>38</v>
      </c>
      <c r="C49" s="9" t="s">
        <v>72</v>
      </c>
      <c r="D49" s="9" t="s">
        <v>141</v>
      </c>
      <c r="E49" s="9" t="s">
        <v>53</v>
      </c>
      <c r="F49" s="9" t="s">
        <v>153</v>
      </c>
      <c r="G49" s="9" t="s">
        <v>30</v>
      </c>
      <c r="H49" s="9" t="s">
        <v>154</v>
      </c>
      <c r="I49" s="9" t="s">
        <v>207</v>
      </c>
    </row>
    <row r="50" spans="1:18" x14ac:dyDescent="0.3">
      <c r="A50" s="4" t="s">
        <v>139</v>
      </c>
      <c r="B50" s="8" t="s">
        <v>41</v>
      </c>
      <c r="C50" s="8" t="s">
        <v>119</v>
      </c>
      <c r="D50" s="8" t="s">
        <v>65</v>
      </c>
      <c r="E50" s="8" t="s">
        <v>114</v>
      </c>
      <c r="F50" s="8" t="s">
        <v>149</v>
      </c>
      <c r="G50" s="8" t="s">
        <v>63</v>
      </c>
      <c r="H50" s="8" t="s">
        <v>62</v>
      </c>
      <c r="I50" s="8" t="s">
        <v>63</v>
      </c>
    </row>
    <row r="51" spans="1:18" x14ac:dyDescent="0.3">
      <c r="A51" s="6" t="s">
        <v>142</v>
      </c>
      <c r="B51" s="9" t="s">
        <v>62</v>
      </c>
      <c r="C51" s="9" t="s">
        <v>197</v>
      </c>
      <c r="D51" s="9" t="s">
        <v>90</v>
      </c>
      <c r="E51" s="9" t="s">
        <v>203</v>
      </c>
      <c r="F51" s="9" t="s">
        <v>42</v>
      </c>
      <c r="G51" s="9" t="s">
        <v>153</v>
      </c>
      <c r="H51" s="9" t="s">
        <v>153</v>
      </c>
      <c r="I51" s="9" t="s">
        <v>45</v>
      </c>
    </row>
    <row r="52" spans="1:18" x14ac:dyDescent="0.3">
      <c r="A52" s="4" t="s">
        <v>148</v>
      </c>
      <c r="B52" s="8" t="s">
        <v>43</v>
      </c>
      <c r="C52" s="8" t="s">
        <v>205</v>
      </c>
      <c r="D52" s="8" t="s">
        <v>153</v>
      </c>
      <c r="E52" s="8" t="s">
        <v>46</v>
      </c>
      <c r="F52" s="8" t="s">
        <v>147</v>
      </c>
      <c r="G52" s="8" t="s">
        <v>52</v>
      </c>
      <c r="H52" s="8" t="s">
        <v>46</v>
      </c>
      <c r="I52" s="8" t="s">
        <v>36</v>
      </c>
    </row>
    <row r="53" spans="1:18" x14ac:dyDescent="0.3">
      <c r="A53" s="6" t="s">
        <v>152</v>
      </c>
      <c r="B53" s="9" t="s">
        <v>183</v>
      </c>
      <c r="C53" s="9" t="s">
        <v>82</v>
      </c>
      <c r="D53" s="9" t="s">
        <v>91</v>
      </c>
      <c r="E53" s="9" t="s">
        <v>40</v>
      </c>
      <c r="F53" s="9" t="s">
        <v>183</v>
      </c>
      <c r="G53" s="9" t="s">
        <v>153</v>
      </c>
      <c r="H53" s="9" t="s">
        <v>30</v>
      </c>
      <c r="I53" s="9" t="s">
        <v>37</v>
      </c>
    </row>
    <row r="54" spans="1:18" x14ac:dyDescent="0.3">
      <c r="A54" s="4" t="s">
        <v>19</v>
      </c>
      <c r="B54" s="8" t="s">
        <v>155</v>
      </c>
      <c r="C54" s="8" t="s">
        <v>155</v>
      </c>
      <c r="D54" s="8" t="s">
        <v>155</v>
      </c>
      <c r="E54" s="8" t="s">
        <v>155</v>
      </c>
      <c r="F54" s="8" t="s">
        <v>155</v>
      </c>
      <c r="G54" s="8" t="s">
        <v>155</v>
      </c>
      <c r="H54" s="8" t="s">
        <v>155</v>
      </c>
      <c r="I54" s="8" t="s">
        <v>155</v>
      </c>
    </row>
    <row r="55" spans="1:18" x14ac:dyDescent="0.3">
      <c r="A55" s="6" t="s">
        <v>233</v>
      </c>
      <c r="B55" s="9" t="s">
        <v>208</v>
      </c>
      <c r="C55" s="9" t="s">
        <v>265</v>
      </c>
      <c r="D55" s="9" t="s">
        <v>266</v>
      </c>
      <c r="E55" s="9" t="s">
        <v>267</v>
      </c>
      <c r="F55" s="9" t="s">
        <v>268</v>
      </c>
      <c r="G55" s="9" t="s">
        <v>269</v>
      </c>
      <c r="H55" s="9" t="s">
        <v>270</v>
      </c>
      <c r="I55" s="9" t="s">
        <v>271</v>
      </c>
    </row>
    <row r="56" spans="1:18" x14ac:dyDescent="0.3">
      <c r="A56" s="4" t="s">
        <v>168</v>
      </c>
      <c r="B56" s="8" t="s">
        <v>220</v>
      </c>
      <c r="C56" s="8" t="s">
        <v>272</v>
      </c>
      <c r="D56" s="8" t="s">
        <v>273</v>
      </c>
      <c r="E56" s="8" t="s">
        <v>274</v>
      </c>
      <c r="F56" s="8" t="s">
        <v>275</v>
      </c>
      <c r="G56" s="8" t="s">
        <v>276</v>
      </c>
      <c r="H56" s="8" t="s">
        <v>277</v>
      </c>
      <c r="I56" s="8" t="s">
        <v>278</v>
      </c>
    </row>
    <row r="59" spans="1:18" x14ac:dyDescent="0.3">
      <c r="A59" s="5" t="s">
        <v>234</v>
      </c>
      <c r="B59" s="9" t="s">
        <v>320</v>
      </c>
      <c r="C59" s="9" t="s">
        <v>319</v>
      </c>
      <c r="D59" s="9" t="s">
        <v>318</v>
      </c>
      <c r="E59" s="9" t="s">
        <v>317</v>
      </c>
      <c r="F59" s="9" t="s">
        <v>316</v>
      </c>
      <c r="G59" s="9" t="s">
        <v>315</v>
      </c>
      <c r="H59" s="9" t="s">
        <v>314</v>
      </c>
      <c r="I59" s="11" t="s">
        <v>313</v>
      </c>
      <c r="J59" s="9" t="s">
        <v>327</v>
      </c>
      <c r="K59" s="9" t="s">
        <v>326</v>
      </c>
      <c r="L59" s="9" t="s">
        <v>325</v>
      </c>
      <c r="M59" s="9" t="s">
        <v>324</v>
      </c>
      <c r="N59" s="9" t="s">
        <v>323</v>
      </c>
      <c r="O59" s="9" t="s">
        <v>322</v>
      </c>
      <c r="P59" s="9" t="s">
        <v>321</v>
      </c>
      <c r="Q59" s="19" t="s">
        <v>331</v>
      </c>
      <c r="R59" s="19" t="s">
        <v>234</v>
      </c>
    </row>
    <row r="60" spans="1:18" x14ac:dyDescent="0.3">
      <c r="A60" s="4" t="s">
        <v>232</v>
      </c>
      <c r="B60" s="20">
        <f t="shared" ref="B60:B78" si="0">((C35*$C$55+C6*$C$26)/100)/($C$26+$C$55)</f>
        <v>0</v>
      </c>
      <c r="C60" s="20">
        <f t="shared" ref="C60:C78" si="1">((D35*$D$55+D6*$D$26)/100)/($D$26+$D$55)</f>
        <v>8.9647326507394788E-4</v>
      </c>
      <c r="D60" s="20">
        <f t="shared" ref="D60:D78" si="2">((E35*$E$55+E6*$E$26)/100)/($E$26+$E$55)</f>
        <v>2.2975799223184942E-4</v>
      </c>
      <c r="E60" s="20">
        <f t="shared" ref="E60:E78" si="3">((F35*$F$55+F6*$F$26)/100)/($F$26+$F$55)</f>
        <v>0</v>
      </c>
      <c r="F60" s="20">
        <f t="shared" ref="F60:F78" si="4">((G35*$G$55+G6*$G$26)/100)/($G$26+$G$55)</f>
        <v>0</v>
      </c>
      <c r="G60" s="20">
        <f t="shared" ref="G60:G78" si="5">((H35*$H$55+H6*$H$26)/100)/($H$26+$H$55)</f>
        <v>8.4162895927601818E-4</v>
      </c>
      <c r="H60" s="20">
        <f t="shared" ref="H60:H78" si="6">((I35*$I$55+I6*$I$26)/100)/($I$26+$I$55)</f>
        <v>3.9380189225719248E-3</v>
      </c>
      <c r="I60">
        <v>5000</v>
      </c>
      <c r="J60">
        <f>(B60*I60)</f>
        <v>0</v>
      </c>
      <c r="K60">
        <f>(C60*I60)/$C$79</f>
        <v>4.4930545814902123</v>
      </c>
      <c r="L60">
        <f>(D60*I60)/$D$79</f>
        <v>1.1500721524460269</v>
      </c>
      <c r="M60">
        <f>(E60*I60)/$E$79</f>
        <v>0</v>
      </c>
      <c r="N60">
        <f>(F60*I60)/$F$79</f>
        <v>0</v>
      </c>
      <c r="O60">
        <f>(G60*I60)/$G$79</f>
        <v>4.2039408555245652</v>
      </c>
      <c r="P60">
        <f>(H60*I60)/$H$79</f>
        <v>19.677643630396442</v>
      </c>
      <c r="Q60" t="str">
        <f>P59</f>
        <v>Illiterate avg</v>
      </c>
      <c r="R60">
        <f>P79</f>
        <v>50794.152840537077</v>
      </c>
    </row>
    <row r="61" spans="1:18" x14ac:dyDescent="0.3">
      <c r="A61" s="6" t="s">
        <v>32</v>
      </c>
      <c r="B61" s="20">
        <f t="shared" si="0"/>
        <v>2.3399833748960932E-3</v>
      </c>
      <c r="C61" s="20">
        <f t="shared" si="1"/>
        <v>0</v>
      </c>
      <c r="D61" s="20">
        <f t="shared" si="2"/>
        <v>3.3785479533910965E-3</v>
      </c>
      <c r="E61" s="20">
        <f t="shared" si="3"/>
        <v>1.0421547134356404E-2</v>
      </c>
      <c r="F61" s="20">
        <f t="shared" si="4"/>
        <v>6.2113022113022111E-3</v>
      </c>
      <c r="G61" s="20">
        <f t="shared" si="5"/>
        <v>2.0085972850678733E-2</v>
      </c>
      <c r="H61" s="20">
        <f t="shared" si="6"/>
        <v>6.3906545665186332E-2</v>
      </c>
      <c r="I61">
        <v>15000</v>
      </c>
      <c r="J61">
        <f t="shared" ref="J61:J78" si="7">(B61*I61)</f>
        <v>35.099750623441402</v>
      </c>
      <c r="K61">
        <f t="shared" ref="K61:K78" si="8">(C61*I61)/$C$79</f>
        <v>0</v>
      </c>
      <c r="L61">
        <f t="shared" ref="L61:L78" si="9">(D61*I61)/$D$79</f>
        <v>50.734782444185967</v>
      </c>
      <c r="M61">
        <f t="shared" ref="M61:M78" si="10">(E61*I61)/$E$79</f>
        <v>156.29995537776247</v>
      </c>
      <c r="N61">
        <f t="shared" ref="N61:N78" si="11">(F61*I61)/$F$79</f>
        <v>93.084682022038891</v>
      </c>
      <c r="O61">
        <f t="shared" ref="O61:O78" si="12">(G61*I61)/$G$79</f>
        <v>300.98860415602496</v>
      </c>
      <c r="P61">
        <f t="shared" ref="P61:P78" si="13">(H61*I61)/$H$79</f>
        <v>957.99201779449459</v>
      </c>
      <c r="Q61" t="str">
        <f>O59</f>
        <v>Read and write avg</v>
      </c>
      <c r="R61">
        <f>O79</f>
        <v>57571.42179087879</v>
      </c>
    </row>
    <row r="62" spans="1:18" x14ac:dyDescent="0.3">
      <c r="A62" s="4" t="s">
        <v>39</v>
      </c>
      <c r="B62" s="20">
        <f t="shared" si="0"/>
        <v>4.8866722083679686E-3</v>
      </c>
      <c r="C62" s="20">
        <f t="shared" si="1"/>
        <v>7.5881683731513086E-3</v>
      </c>
      <c r="D62" s="20">
        <f t="shared" si="2"/>
        <v>9.9868538990140424E-3</v>
      </c>
      <c r="E62" s="20">
        <f t="shared" si="3"/>
        <v>2.1586908863138111E-2</v>
      </c>
      <c r="F62" s="20">
        <f t="shared" si="4"/>
        <v>1.8442260442260442E-2</v>
      </c>
      <c r="G62" s="20">
        <f t="shared" si="5"/>
        <v>3.1719457013574655E-2</v>
      </c>
      <c r="H62" s="20">
        <f t="shared" si="6"/>
        <v>5.8380189225719248E-2</v>
      </c>
      <c r="I62">
        <v>22500</v>
      </c>
      <c r="J62">
        <f t="shared" si="7"/>
        <v>109.95012468827929</v>
      </c>
      <c r="K62">
        <f t="shared" si="8"/>
        <v>171.1409051566354</v>
      </c>
      <c r="L62">
        <f t="shared" si="9"/>
        <v>224.95501034391938</v>
      </c>
      <c r="M62">
        <f t="shared" si="10"/>
        <v>485.6332052074934</v>
      </c>
      <c r="N62">
        <f t="shared" si="11"/>
        <v>414.57295683787015</v>
      </c>
      <c r="O62">
        <f t="shared" si="12"/>
        <v>712.97480799743221</v>
      </c>
      <c r="P62">
        <f t="shared" si="13"/>
        <v>1312.7236348037743</v>
      </c>
      <c r="Q62" t="str">
        <f>N59</f>
        <v>Literacy Certificate avg</v>
      </c>
      <c r="R62">
        <f>N79</f>
        <v>61490.766402124857</v>
      </c>
    </row>
    <row r="63" spans="1:18" x14ac:dyDescent="0.3">
      <c r="A63" s="6" t="s">
        <v>48</v>
      </c>
      <c r="B63" s="20">
        <f t="shared" si="0"/>
        <v>8.0199501246882802E-3</v>
      </c>
      <c r="C63" s="20">
        <f t="shared" si="1"/>
        <v>4.1035267349260529E-3</v>
      </c>
      <c r="D63" s="20">
        <f t="shared" si="2"/>
        <v>2.775709590678219E-2</v>
      </c>
      <c r="E63" s="20">
        <f t="shared" si="3"/>
        <v>3.5694331349827753E-2</v>
      </c>
      <c r="F63" s="20">
        <f t="shared" si="4"/>
        <v>3.42997542997543E-2</v>
      </c>
      <c r="G63" s="20">
        <f t="shared" si="5"/>
        <v>4.8601809954751128E-2</v>
      </c>
      <c r="H63" s="20">
        <f t="shared" si="6"/>
        <v>8.1238656111218388E-2</v>
      </c>
      <c r="I63">
        <v>27500</v>
      </c>
      <c r="J63">
        <f t="shared" si="7"/>
        <v>220.54862842892771</v>
      </c>
      <c r="K63">
        <f t="shared" si="8"/>
        <v>113.11607019656545</v>
      </c>
      <c r="L63">
        <f t="shared" si="9"/>
        <v>764.17209685671344</v>
      </c>
      <c r="M63">
        <f t="shared" si="10"/>
        <v>981.44810903482903</v>
      </c>
      <c r="N63">
        <f t="shared" si="11"/>
        <v>942.38421488029348</v>
      </c>
      <c r="O63">
        <f t="shared" si="12"/>
        <v>1335.2145591964595</v>
      </c>
      <c r="P63">
        <f t="shared" si="13"/>
        <v>2232.6503388375418</v>
      </c>
      <c r="Q63" t="str">
        <f>M59</f>
        <v>Below Intermediate avg</v>
      </c>
      <c r="R63">
        <f>M79</f>
        <v>61769.496394992915</v>
      </c>
    </row>
    <row r="64" spans="1:18" x14ac:dyDescent="0.3">
      <c r="A64" s="4" t="s">
        <v>57</v>
      </c>
      <c r="B64" s="20">
        <f t="shared" si="0"/>
        <v>1.5699916874480465E-2</v>
      </c>
      <c r="C64" s="20">
        <f t="shared" si="1"/>
        <v>2.4414106939704212E-2</v>
      </c>
      <c r="D64" s="20">
        <f t="shared" si="2"/>
        <v>4.8493426949507021E-2</v>
      </c>
      <c r="E64" s="20">
        <f t="shared" si="3"/>
        <v>6.1586908863138119E-2</v>
      </c>
      <c r="F64" s="20">
        <f t="shared" si="4"/>
        <v>7.0081081081081076E-2</v>
      </c>
      <c r="G64" s="20">
        <f t="shared" si="5"/>
        <v>7.2167420814479646E-2</v>
      </c>
      <c r="H64" s="20">
        <f t="shared" si="6"/>
        <v>8.8141533114500875E-2</v>
      </c>
      <c r="I64">
        <v>32500</v>
      </c>
      <c r="J64">
        <f t="shared" si="7"/>
        <v>510.2472984206151</v>
      </c>
      <c r="K64">
        <f t="shared" si="8"/>
        <v>795.35048676658585</v>
      </c>
      <c r="L64">
        <f t="shared" si="9"/>
        <v>1577.7954268405301</v>
      </c>
      <c r="M64">
        <f t="shared" si="10"/>
        <v>2001.276822270411</v>
      </c>
      <c r="N64">
        <f t="shared" si="11"/>
        <v>2275.5608523925366</v>
      </c>
      <c r="O64">
        <f t="shared" si="12"/>
        <v>2343.0980783921959</v>
      </c>
      <c r="P64">
        <f t="shared" si="13"/>
        <v>2862.7884036302962</v>
      </c>
      <c r="Q64" t="str">
        <f>L59</f>
        <v>Intermediate avg</v>
      </c>
      <c r="R64">
        <f>L79</f>
        <v>66784.078589559882</v>
      </c>
    </row>
    <row r="65" spans="1:18" x14ac:dyDescent="0.3">
      <c r="A65" s="6" t="s">
        <v>69</v>
      </c>
      <c r="B65" s="20">
        <f t="shared" si="0"/>
        <v>2.6646439456913272E-2</v>
      </c>
      <c r="C65" s="20">
        <f t="shared" si="1"/>
        <v>5.4006825938566552E-2</v>
      </c>
      <c r="D65" s="20">
        <f t="shared" si="2"/>
        <v>7.6378547953391093E-2</v>
      </c>
      <c r="E65" s="20">
        <f t="shared" si="3"/>
        <v>8.4595051675540253E-2</v>
      </c>
      <c r="F65" s="20">
        <f t="shared" si="4"/>
        <v>8.0176904176904165E-2</v>
      </c>
      <c r="G65" s="20">
        <f t="shared" si="5"/>
        <v>9.0058823529411761E-2</v>
      </c>
      <c r="H65" s="20">
        <f t="shared" si="6"/>
        <v>9.9287700328248671E-2</v>
      </c>
      <c r="I65">
        <v>37500</v>
      </c>
      <c r="J65">
        <f t="shared" si="7"/>
        <v>999.24147963424775</v>
      </c>
      <c r="K65">
        <f t="shared" si="8"/>
        <v>2030.0852197890542</v>
      </c>
      <c r="L65">
        <f t="shared" si="9"/>
        <v>2867.3923437498361</v>
      </c>
      <c r="M65">
        <f t="shared" si="10"/>
        <v>3171.8425852715304</v>
      </c>
      <c r="N65">
        <f t="shared" si="11"/>
        <v>3003.8957117713335</v>
      </c>
      <c r="O65">
        <f t="shared" si="12"/>
        <v>3373.832050302638</v>
      </c>
      <c r="P65">
        <f t="shared" si="13"/>
        <v>3720.9343499006313</v>
      </c>
      <c r="Q65" t="str">
        <f>K59</f>
        <v>Above Intermediate &amp; less than University avg</v>
      </c>
      <c r="R65">
        <f>K79</f>
        <v>80328.528957964838</v>
      </c>
    </row>
    <row r="66" spans="1:18" x14ac:dyDescent="0.3">
      <c r="A66" s="4" t="s">
        <v>80</v>
      </c>
      <c r="B66" s="20">
        <f t="shared" si="0"/>
        <v>3.9739817123857019E-2</v>
      </c>
      <c r="C66" s="20">
        <f t="shared" si="1"/>
        <v>4.7105802047781579E-2</v>
      </c>
      <c r="D66" s="20">
        <f t="shared" si="2"/>
        <v>9.057439498057962E-2</v>
      </c>
      <c r="E66" s="20">
        <f t="shared" si="3"/>
        <v>9.3917319135609134E-2</v>
      </c>
      <c r="F66" s="20">
        <f t="shared" si="4"/>
        <v>0.10505651105651106</v>
      </c>
      <c r="G66" s="20">
        <f t="shared" si="5"/>
        <v>0.1035656108597285</v>
      </c>
      <c r="H66" s="20">
        <f t="shared" si="6"/>
        <v>0.10241166248310485</v>
      </c>
      <c r="I66">
        <v>42500</v>
      </c>
      <c r="J66">
        <f t="shared" si="7"/>
        <v>1688.9422277639233</v>
      </c>
      <c r="K66">
        <f t="shared" si="8"/>
        <v>2006.7703718401797</v>
      </c>
      <c r="L66">
        <f t="shared" si="9"/>
        <v>3853.7082050095578</v>
      </c>
      <c r="M66">
        <f t="shared" si="10"/>
        <v>3990.8923664659969</v>
      </c>
      <c r="N66">
        <f t="shared" si="11"/>
        <v>4460.8354546592673</v>
      </c>
      <c r="O66">
        <f t="shared" si="12"/>
        <v>4397.1413202182421</v>
      </c>
      <c r="P66">
        <f t="shared" si="13"/>
        <v>4349.7433657058464</v>
      </c>
      <c r="Q66" t="str">
        <f>J59</f>
        <v>University and over avg</v>
      </c>
      <c r="R66">
        <f>J79</f>
        <v>103280.14616237185</v>
      </c>
    </row>
    <row r="67" spans="1:18" x14ac:dyDescent="0.3">
      <c r="A67" s="6" t="s">
        <v>89</v>
      </c>
      <c r="B67" s="20">
        <f t="shared" si="0"/>
        <v>4.9886672208367969E-2</v>
      </c>
      <c r="C67" s="20">
        <f t="shared" si="1"/>
        <v>6.9588168373151307E-2</v>
      </c>
      <c r="D67" s="20">
        <f t="shared" si="2"/>
        <v>9.3033910965043307E-2</v>
      </c>
      <c r="E67" s="20">
        <f t="shared" si="3"/>
        <v>0.10398340119010335</v>
      </c>
      <c r="F67" s="20">
        <f t="shared" si="4"/>
        <v>0.10576167076167077</v>
      </c>
      <c r="G67" s="20">
        <f t="shared" si="5"/>
        <v>8.7524886877828056E-2</v>
      </c>
      <c r="H67" s="20">
        <f t="shared" si="6"/>
        <v>8.1451438501641243E-2</v>
      </c>
      <c r="I67">
        <v>47500</v>
      </c>
      <c r="J67">
        <f t="shared" si="7"/>
        <v>2369.6169298974787</v>
      </c>
      <c r="K67">
        <f t="shared" si="8"/>
        <v>3313.3198541695888</v>
      </c>
      <c r="L67">
        <f t="shared" si="9"/>
        <v>4424.0430435066746</v>
      </c>
      <c r="M67">
        <f t="shared" si="10"/>
        <v>4938.4768942922683</v>
      </c>
      <c r="N67">
        <f t="shared" si="11"/>
        <v>5019.1042072214286</v>
      </c>
      <c r="O67">
        <f t="shared" si="12"/>
        <v>4153.2788478489829</v>
      </c>
      <c r="P67">
        <f t="shared" si="13"/>
        <v>3866.4968121156007</v>
      </c>
    </row>
    <row r="68" spans="1:18" x14ac:dyDescent="0.3">
      <c r="A68" s="4" t="s">
        <v>98</v>
      </c>
      <c r="B68" s="20">
        <f t="shared" si="0"/>
        <v>5.1679966749792187E-2</v>
      </c>
      <c r="C68" s="20">
        <f t="shared" si="1"/>
        <v>7.6343572241183155E-2</v>
      </c>
      <c r="D68" s="20">
        <f t="shared" si="2"/>
        <v>9.5013146100985976E-2</v>
      </c>
      <c r="E68" s="20">
        <f t="shared" si="3"/>
        <v>9.9239586595678053E-2</v>
      </c>
      <c r="F68" s="20">
        <f t="shared" si="4"/>
        <v>8.658476658476659E-2</v>
      </c>
      <c r="G68" s="20">
        <f t="shared" si="5"/>
        <v>0.10133936651583711</v>
      </c>
      <c r="H68" s="20">
        <f t="shared" si="6"/>
        <v>7.66151766750338E-2</v>
      </c>
      <c r="I68">
        <v>52500</v>
      </c>
      <c r="J68">
        <f t="shared" si="7"/>
        <v>2713.1982543640897</v>
      </c>
      <c r="K68">
        <f t="shared" si="8"/>
        <v>4017.5947561263479</v>
      </c>
      <c r="L68">
        <f t="shared" si="9"/>
        <v>4993.7576057681281</v>
      </c>
      <c r="M68">
        <f t="shared" si="10"/>
        <v>5209.3033451021238</v>
      </c>
      <c r="N68">
        <f t="shared" si="11"/>
        <v>4541.5603958062811</v>
      </c>
      <c r="O68">
        <f t="shared" si="12"/>
        <v>5315.0017403411066</v>
      </c>
      <c r="P68">
        <f t="shared" si="13"/>
        <v>4019.7532860555311</v>
      </c>
    </row>
    <row r="69" spans="1:18" x14ac:dyDescent="0.3">
      <c r="A69" s="6" t="s">
        <v>106</v>
      </c>
      <c r="B69" s="20">
        <f t="shared" si="0"/>
        <v>6.1679966749792182E-2</v>
      </c>
      <c r="C69" s="20">
        <f t="shared" si="1"/>
        <v>0.1057599544937429</v>
      </c>
      <c r="D69" s="20">
        <f t="shared" si="2"/>
        <v>8.973633104272484E-2</v>
      </c>
      <c r="E69" s="20">
        <f t="shared" si="3"/>
        <v>9.3834638271218296E-2</v>
      </c>
      <c r="F69" s="20">
        <f t="shared" si="4"/>
        <v>8.7142506142506154E-2</v>
      </c>
      <c r="G69" s="20">
        <f t="shared" si="5"/>
        <v>8.3990950226244351E-2</v>
      </c>
      <c r="H69" s="20">
        <f t="shared" si="6"/>
        <v>7.1044410117783355E-2</v>
      </c>
      <c r="I69">
        <v>57500</v>
      </c>
      <c r="J69">
        <f t="shared" si="7"/>
        <v>3546.5980881130504</v>
      </c>
      <c r="K69">
        <f t="shared" si="8"/>
        <v>6095.6980712936002</v>
      </c>
      <c r="L69">
        <f t="shared" si="9"/>
        <v>5165.5980517269245</v>
      </c>
      <c r="M69">
        <f t="shared" si="10"/>
        <v>5394.6891708875137</v>
      </c>
      <c r="N69">
        <f t="shared" si="11"/>
        <v>5006.1307751410895</v>
      </c>
      <c r="O69">
        <f t="shared" si="12"/>
        <v>4824.6549830260237</v>
      </c>
      <c r="P69">
        <f t="shared" si="13"/>
        <v>4082.4704082780599</v>
      </c>
    </row>
    <row r="70" spans="1:18" x14ac:dyDescent="0.3">
      <c r="A70" s="4" t="s">
        <v>111</v>
      </c>
      <c r="B70" s="20">
        <f t="shared" si="0"/>
        <v>6.0206705458575774E-2</v>
      </c>
      <c r="C70" s="20">
        <f t="shared" si="1"/>
        <v>7.0962457337883963E-2</v>
      </c>
      <c r="D70" s="20">
        <f t="shared" si="2"/>
        <v>7.0128025097101879E-2</v>
      </c>
      <c r="E70" s="20">
        <f t="shared" si="3"/>
        <v>6.478515502662073E-2</v>
      </c>
      <c r="F70" s="20">
        <f t="shared" si="4"/>
        <v>7.6857493857493853E-2</v>
      </c>
      <c r="G70" s="20">
        <f t="shared" si="5"/>
        <v>7.6764705882352943E-2</v>
      </c>
      <c r="H70" s="20">
        <f t="shared" si="6"/>
        <v>4.9185943232284222E-2</v>
      </c>
      <c r="I70">
        <v>62500</v>
      </c>
      <c r="J70">
        <f t="shared" si="7"/>
        <v>3762.9190911609858</v>
      </c>
      <c r="K70">
        <f t="shared" si="8"/>
        <v>4445.729260390759</v>
      </c>
      <c r="L70">
        <f t="shared" si="9"/>
        <v>4387.8935389125936</v>
      </c>
      <c r="M70">
        <f t="shared" si="10"/>
        <v>4048.4699269604425</v>
      </c>
      <c r="N70">
        <f t="shared" si="11"/>
        <v>4799.2186483573951</v>
      </c>
      <c r="O70">
        <f t="shared" si="12"/>
        <v>4793.0011165305277</v>
      </c>
      <c r="P70">
        <f t="shared" si="13"/>
        <v>3072.1775389466829</v>
      </c>
    </row>
    <row r="71" spans="1:18" x14ac:dyDescent="0.3">
      <c r="A71" s="6" t="s">
        <v>116</v>
      </c>
      <c r="B71" s="20">
        <f t="shared" si="0"/>
        <v>5.6320033250207818E-2</v>
      </c>
      <c r="C71" s="20">
        <f t="shared" si="1"/>
        <v>5.5927189988623421E-2</v>
      </c>
      <c r="D71" s="20">
        <f t="shared" si="2"/>
        <v>7.4161936062145203E-2</v>
      </c>
      <c r="E71" s="20">
        <f t="shared" si="3"/>
        <v>6.4537112433448174E-2</v>
      </c>
      <c r="F71" s="20">
        <f t="shared" si="4"/>
        <v>6.9169533169533171E-2</v>
      </c>
      <c r="G71" s="20">
        <f t="shared" si="5"/>
        <v>5.8733031674208153E-2</v>
      </c>
      <c r="H71" s="20">
        <f t="shared" si="6"/>
        <v>4.5349681405676766E-2</v>
      </c>
      <c r="I71">
        <v>67500</v>
      </c>
      <c r="J71">
        <f t="shared" si="7"/>
        <v>3801.6022443890279</v>
      </c>
      <c r="K71">
        <f t="shared" si="8"/>
        <v>3784.0870603449148</v>
      </c>
      <c r="L71">
        <f t="shared" si="9"/>
        <v>5011.5179202627596</v>
      </c>
      <c r="M71">
        <f t="shared" si="10"/>
        <v>4355.6071364266209</v>
      </c>
      <c r="N71">
        <f t="shared" si="11"/>
        <v>4664.6913992404961</v>
      </c>
      <c r="O71">
        <f t="shared" si="12"/>
        <v>3960.5191188901595</v>
      </c>
      <c r="P71">
        <f t="shared" si="13"/>
        <v>3059.1678136849878</v>
      </c>
    </row>
    <row r="72" spans="1:18" x14ac:dyDescent="0.3">
      <c r="A72" s="4" t="s">
        <v>122</v>
      </c>
      <c r="B72" s="20">
        <f t="shared" si="0"/>
        <v>0.11320670545857579</v>
      </c>
      <c r="C72" s="20">
        <f t="shared" si="1"/>
        <v>0.114</v>
      </c>
      <c r="D72" s="20">
        <f t="shared" si="2"/>
        <v>9.1195847027188512E-2</v>
      </c>
      <c r="E72" s="20">
        <f t="shared" si="3"/>
        <v>8.0429689946758531E-2</v>
      </c>
      <c r="F72" s="20">
        <f t="shared" si="4"/>
        <v>8.6223587223587209E-2</v>
      </c>
      <c r="G72" s="20">
        <f t="shared" si="5"/>
        <v>8.5615384615384621E-2</v>
      </c>
      <c r="H72" s="20">
        <f t="shared" si="6"/>
        <v>6.6575400656497377E-2</v>
      </c>
      <c r="I72">
        <v>75000</v>
      </c>
      <c r="J72">
        <f t="shared" si="7"/>
        <v>8490.5029093931844</v>
      </c>
      <c r="K72">
        <f t="shared" si="8"/>
        <v>8570.3875772742667</v>
      </c>
      <c r="L72">
        <f t="shared" si="9"/>
        <v>6847.322463032805</v>
      </c>
      <c r="M72">
        <f t="shared" si="10"/>
        <v>6031.3295078245483</v>
      </c>
      <c r="N72">
        <f t="shared" si="11"/>
        <v>6460.8796404260493</v>
      </c>
      <c r="O72">
        <f t="shared" si="12"/>
        <v>6414.7391070467993</v>
      </c>
      <c r="P72">
        <f t="shared" si="13"/>
        <v>4989.9976400335208</v>
      </c>
    </row>
    <row r="73" spans="1:18" x14ac:dyDescent="0.3">
      <c r="A73" s="6" t="s">
        <v>131</v>
      </c>
      <c r="B73" s="20">
        <f t="shared" si="0"/>
        <v>8.7280133000831261E-2</v>
      </c>
      <c r="C73" s="20">
        <f t="shared" si="1"/>
        <v>8.5825938566552906E-2</v>
      </c>
      <c r="D73" s="20">
        <f t="shared" si="2"/>
        <v>6.6425605019420381E-2</v>
      </c>
      <c r="E73" s="20">
        <f t="shared" si="3"/>
        <v>5.7512370811149391E-2</v>
      </c>
      <c r="F73" s="20">
        <f t="shared" si="4"/>
        <v>5.6115479115479122E-2</v>
      </c>
      <c r="G73" s="20">
        <f t="shared" si="5"/>
        <v>4.3990950226244344E-2</v>
      </c>
      <c r="H73" s="20">
        <f t="shared" si="6"/>
        <v>3.9123962154856147E-2</v>
      </c>
      <c r="I73">
        <v>85000</v>
      </c>
      <c r="J73">
        <f t="shared" si="7"/>
        <v>7418.811305070657</v>
      </c>
      <c r="K73">
        <f t="shared" si="8"/>
        <v>7312.6002812150409</v>
      </c>
      <c r="L73">
        <f t="shared" si="9"/>
        <v>5652.4782559342748</v>
      </c>
      <c r="M73">
        <f t="shared" si="10"/>
        <v>4887.8243919241586</v>
      </c>
      <c r="N73">
        <f t="shared" si="11"/>
        <v>4765.4717689771742</v>
      </c>
      <c r="O73">
        <f t="shared" si="12"/>
        <v>3735.4952739568116</v>
      </c>
      <c r="P73">
        <f t="shared" si="13"/>
        <v>3323.4338882309835</v>
      </c>
    </row>
    <row r="74" spans="1:18" x14ac:dyDescent="0.3">
      <c r="A74" s="4" t="s">
        <v>135</v>
      </c>
      <c r="B74" s="20">
        <f t="shared" si="0"/>
        <v>7.6206705458575774E-2</v>
      </c>
      <c r="C74" s="20">
        <f t="shared" si="1"/>
        <v>6.7030716723549488E-2</v>
      </c>
      <c r="D74" s="20">
        <f t="shared" si="2"/>
        <v>4.1999999999999996E-2</v>
      </c>
      <c r="E74" s="20">
        <f t="shared" si="3"/>
        <v>4.3768556216724076E-2</v>
      </c>
      <c r="F74" s="20">
        <f t="shared" si="4"/>
        <v>1.823095823095823E-2</v>
      </c>
      <c r="G74" s="20">
        <f t="shared" si="5"/>
        <v>3.3891402714932128E-2</v>
      </c>
      <c r="H74" s="20">
        <f t="shared" si="6"/>
        <v>2.6123962154856153E-2</v>
      </c>
      <c r="I74">
        <v>95000</v>
      </c>
      <c r="J74">
        <f t="shared" si="7"/>
        <v>7239.6370185646983</v>
      </c>
      <c r="K74">
        <f t="shared" si="8"/>
        <v>6383.1024655922101</v>
      </c>
      <c r="L74">
        <f t="shared" si="9"/>
        <v>3994.4533321209456</v>
      </c>
      <c r="M74">
        <f t="shared" si="10"/>
        <v>4157.3943744666858</v>
      </c>
      <c r="N74">
        <f t="shared" si="11"/>
        <v>1730.3637225035657</v>
      </c>
      <c r="O74">
        <f t="shared" si="12"/>
        <v>3216.4667911274241</v>
      </c>
      <c r="P74">
        <f t="shared" si="13"/>
        <v>2480.2070595608843</v>
      </c>
    </row>
    <row r="75" spans="1:18" x14ac:dyDescent="0.3">
      <c r="A75" s="6" t="s">
        <v>139</v>
      </c>
      <c r="B75" s="20">
        <f t="shared" si="0"/>
        <v>9.8940149625935156E-2</v>
      </c>
      <c r="C75" s="20">
        <f t="shared" si="1"/>
        <v>9.0687144482366325E-2</v>
      </c>
      <c r="D75" s="20">
        <f t="shared" si="2"/>
        <v>5.9506573050492978E-2</v>
      </c>
      <c r="E75" s="20">
        <f t="shared" si="3"/>
        <v>4.4066082054494207E-2</v>
      </c>
      <c r="F75" s="20">
        <f t="shared" si="4"/>
        <v>5.0523341523341529E-2</v>
      </c>
      <c r="G75" s="20">
        <f t="shared" si="5"/>
        <v>3.0366515837104074E-2</v>
      </c>
      <c r="H75" s="20">
        <f t="shared" si="6"/>
        <v>2.6898242904035526E-2</v>
      </c>
      <c r="I75">
        <v>110000</v>
      </c>
      <c r="J75">
        <f t="shared" si="7"/>
        <v>10883.416458852867</v>
      </c>
      <c r="K75">
        <f t="shared" si="8"/>
        <v>9999.3727969492829</v>
      </c>
      <c r="L75">
        <f t="shared" si="9"/>
        <v>6553.0288698021104</v>
      </c>
      <c r="M75">
        <f t="shared" si="10"/>
        <v>4846.5480393615107</v>
      </c>
      <c r="N75">
        <f t="shared" si="11"/>
        <v>5552.506192144263</v>
      </c>
      <c r="O75">
        <f t="shared" si="12"/>
        <v>3336.9797623191284</v>
      </c>
      <c r="P75">
        <f t="shared" si="13"/>
        <v>2956.9357253577909</v>
      </c>
    </row>
    <row r="76" spans="1:18" x14ac:dyDescent="0.3">
      <c r="A76" s="4" t="s">
        <v>142</v>
      </c>
      <c r="B76" s="20">
        <f t="shared" si="0"/>
        <v>8.9586589082848445E-2</v>
      </c>
      <c r="C76" s="20">
        <f t="shared" si="1"/>
        <v>7.1343572241183151E-2</v>
      </c>
      <c r="D76" s="20">
        <f t="shared" si="2"/>
        <v>3.434463698834777E-2</v>
      </c>
      <c r="E76" s="20">
        <f t="shared" si="3"/>
        <v>2.0553711243344815E-2</v>
      </c>
      <c r="F76" s="20">
        <f t="shared" si="4"/>
        <v>3.4646191646191642E-2</v>
      </c>
      <c r="G76" s="20">
        <f t="shared" si="5"/>
        <v>1.8375565610859727E-2</v>
      </c>
      <c r="H76" s="20">
        <f t="shared" si="6"/>
        <v>1.3327476346785093E-2</v>
      </c>
      <c r="I76">
        <v>130000</v>
      </c>
      <c r="J76">
        <f t="shared" si="7"/>
        <v>11646.256580770298</v>
      </c>
      <c r="K76">
        <f t="shared" si="8"/>
        <v>9296.7799395376242</v>
      </c>
      <c r="L76">
        <f t="shared" si="9"/>
        <v>4469.7860791019311</v>
      </c>
      <c r="M76">
        <f t="shared" si="10"/>
        <v>2671.585028847885</v>
      </c>
      <c r="N76">
        <f t="shared" si="11"/>
        <v>4499.9030367895602</v>
      </c>
      <c r="O76">
        <f t="shared" si="12"/>
        <v>2386.4370923194447</v>
      </c>
      <c r="P76">
        <f t="shared" si="13"/>
        <v>1731.4763375249913</v>
      </c>
    </row>
    <row r="77" spans="1:18" x14ac:dyDescent="0.3">
      <c r="A77" s="6" t="s">
        <v>148</v>
      </c>
      <c r="B77" s="20">
        <f t="shared" si="0"/>
        <v>7.5940149625935163E-2</v>
      </c>
      <c r="C77" s="20">
        <f t="shared" si="1"/>
        <v>2.9207053469852102E-2</v>
      </c>
      <c r="D77" s="20">
        <f t="shared" si="2"/>
        <v>1.6195847027188529E-2</v>
      </c>
      <c r="E77" s="20">
        <f t="shared" si="3"/>
        <v>1.1595051675540246E-2</v>
      </c>
      <c r="F77" s="20">
        <f t="shared" si="4"/>
        <v>1.0823095823095824E-2</v>
      </c>
      <c r="G77" s="20">
        <f t="shared" si="5"/>
        <v>8.3167420814479632E-3</v>
      </c>
      <c r="H77" s="20">
        <f t="shared" si="6"/>
        <v>4.2654952693570187E-3</v>
      </c>
      <c r="I77">
        <v>175000</v>
      </c>
      <c r="J77">
        <f t="shared" si="7"/>
        <v>13289.526184538654</v>
      </c>
      <c r="K77">
        <f t="shared" si="8"/>
        <v>5123.4221566890055</v>
      </c>
      <c r="L77">
        <f t="shared" si="9"/>
        <v>2837.4366282576461</v>
      </c>
      <c r="M77">
        <f t="shared" si="10"/>
        <v>2028.8322282153456</v>
      </c>
      <c r="N77">
        <f t="shared" si="11"/>
        <v>1892.3168315859502</v>
      </c>
      <c r="O77">
        <f t="shared" si="12"/>
        <v>1453.9758883650284</v>
      </c>
      <c r="P77">
        <f t="shared" si="13"/>
        <v>745.98964895160941</v>
      </c>
    </row>
    <row r="78" spans="1:18" x14ac:dyDescent="0.3">
      <c r="A78" s="4" t="s">
        <v>152</v>
      </c>
      <c r="B78" s="20">
        <f t="shared" si="0"/>
        <v>8.1846771958991413E-2</v>
      </c>
      <c r="C78" s="20">
        <f t="shared" si="1"/>
        <v>2.2830489192263933E-2</v>
      </c>
      <c r="D78" s="20">
        <f t="shared" si="2"/>
        <v>1.0344636988347774E-2</v>
      </c>
      <c r="E78" s="20">
        <f t="shared" si="3"/>
        <v>8.0413404321954263E-3</v>
      </c>
      <c r="F78" s="20">
        <f t="shared" si="4"/>
        <v>4.5651105651105649E-3</v>
      </c>
      <c r="G78" s="20">
        <f t="shared" si="5"/>
        <v>5.0497737556561085E-3</v>
      </c>
      <c r="H78" s="20">
        <f t="shared" si="6"/>
        <v>3.3672523653214908E-3</v>
      </c>
      <c r="I78">
        <v>300000</v>
      </c>
      <c r="J78">
        <f t="shared" si="7"/>
        <v>24554.031587697424</v>
      </c>
      <c r="K78">
        <f t="shared" si="8"/>
        <v>6865.4786300516917</v>
      </c>
      <c r="L78">
        <f t="shared" si="9"/>
        <v>3106.8548637358917</v>
      </c>
      <c r="M78">
        <f t="shared" si="10"/>
        <v>2412.0433070557933</v>
      </c>
      <c r="N78">
        <f t="shared" si="11"/>
        <v>1368.2859113682614</v>
      </c>
      <c r="O78">
        <f t="shared" si="12"/>
        <v>1513.4187079888434</v>
      </c>
      <c r="P78">
        <f t="shared" si="13"/>
        <v>1009.536927493455</v>
      </c>
    </row>
    <row r="79" spans="1:18" x14ac:dyDescent="0.3">
      <c r="A79" s="7" t="s">
        <v>19</v>
      </c>
      <c r="B79" s="13">
        <f>SUM(B60:B78)</f>
        <v>1.0001133277916321</v>
      </c>
      <c r="C79" s="13">
        <f t="shared" ref="C79:G79" si="14">SUM(C60:C78)</f>
        <v>0.9976211604095564</v>
      </c>
      <c r="D79" s="13">
        <f t="shared" si="14"/>
        <v>0.99888512100388427</v>
      </c>
      <c r="E79" s="14">
        <f t="shared" si="14"/>
        <v>1.000148762918885</v>
      </c>
      <c r="F79" s="15">
        <f t="shared" si="14"/>
        <v>1.0009115479115478</v>
      </c>
      <c r="G79" s="13">
        <f t="shared" si="14"/>
        <v>1.0010000000000001</v>
      </c>
      <c r="H79">
        <f>SUM(H60:H78)</f>
        <v>1.0006327476346786</v>
      </c>
      <c r="I79" t="s">
        <v>328</v>
      </c>
      <c r="J79">
        <f>SUM(J60:J78)</f>
        <v>103280.14616237185</v>
      </c>
      <c r="K79">
        <f t="shared" ref="K79:P79" si="15">SUM(K60:K78)</f>
        <v>80328.528957964838</v>
      </c>
      <c r="L79">
        <f>SUM(L60:L78)</f>
        <v>66784.078589559882</v>
      </c>
      <c r="M79">
        <f t="shared" si="15"/>
        <v>61769.496394992915</v>
      </c>
      <c r="N79">
        <f t="shared" si="15"/>
        <v>61490.766402124857</v>
      </c>
      <c r="O79">
        <f t="shared" si="15"/>
        <v>57571.42179087879</v>
      </c>
      <c r="P79">
        <f t="shared" si="15"/>
        <v>50794.152840537077</v>
      </c>
    </row>
    <row r="80" spans="1:18" x14ac:dyDescent="0.3">
      <c r="A80" s="11" t="s">
        <v>313</v>
      </c>
      <c r="D80" s="26"/>
      <c r="E80" s="26"/>
    </row>
    <row r="81" spans="1:9" x14ac:dyDescent="0.3">
      <c r="A81">
        <v>5000</v>
      </c>
      <c r="B81" s="15">
        <f>((C35*$C$55+C6*$C$26)/100)</f>
        <v>0</v>
      </c>
      <c r="C81" s="15">
        <f>((D35*$D$55+D6*$D$26)/100)</f>
        <v>0.78800000000000014</v>
      </c>
      <c r="D81" s="22">
        <f>((E35*$E$55+E6*$E$26)/100)</f>
        <v>1.538</v>
      </c>
      <c r="E81" s="15">
        <f>((F35*$F$55+F6*$F$26)/100)</f>
        <v>0</v>
      </c>
      <c r="F81" s="15">
        <f>((G35*$G$55+G6*$G$26)/100)</f>
        <v>0</v>
      </c>
      <c r="G81" s="15">
        <f>((H35*$H$55+H6*$H$26)/100)</f>
        <v>1.86</v>
      </c>
      <c r="H81" s="15">
        <f>((I35*$I$55+I6*$I$26)/100)</f>
        <v>20.395</v>
      </c>
      <c r="I81" s="15"/>
    </row>
    <row r="82" spans="1:9" x14ac:dyDescent="0.3">
      <c r="A82">
        <v>15000</v>
      </c>
      <c r="B82" s="15">
        <f>((C36*$C$55+C7*$C$26)/100)</f>
        <v>8.4450000000000003</v>
      </c>
      <c r="C82" s="15">
        <f t="shared" ref="C82:C99" si="16">((D36*$D$55+D7*$D$26)/100)</f>
        <v>0</v>
      </c>
      <c r="D82" s="22">
        <f t="shared" ref="D82:D99" si="17">((E36*$E$55+E7*$E$26)/100)</f>
        <v>22.616</v>
      </c>
      <c r="E82" s="15">
        <f t="shared" ref="E82:E99" si="18">((F36*$F$55+F7*$F$26)/100)</f>
        <v>33.275999999999996</v>
      </c>
      <c r="F82" s="15">
        <f t="shared" ref="F82:F99" si="19">((G36*$G$55+G7*$G$26)/100)</f>
        <v>2.528</v>
      </c>
      <c r="G82" s="15">
        <f t="shared" ref="G82:G99" si="20">((H36*$H$55+H7*$H$26)/100)</f>
        <v>44.39</v>
      </c>
      <c r="H82" s="15">
        <f t="shared" ref="H82:H99" si="21">((I36*$I$55+I7*$I$26)/100)</f>
        <v>330.97200000000004</v>
      </c>
      <c r="I82" s="15"/>
    </row>
    <row r="83" spans="1:9" x14ac:dyDescent="0.3">
      <c r="A83">
        <v>22500</v>
      </c>
      <c r="B83" s="15">
        <f t="shared" ref="B83:B99" si="22">((C37*$C$55+C8*$C$26)/100)</f>
        <v>17.635999999999999</v>
      </c>
      <c r="C83" s="15">
        <f t="shared" si="16"/>
        <v>6.67</v>
      </c>
      <c r="D83" s="22">
        <f t="shared" si="17"/>
        <v>66.852000000000004</v>
      </c>
      <c r="E83" s="15">
        <f t="shared" si="18"/>
        <v>68.926999999999992</v>
      </c>
      <c r="F83" s="15">
        <f t="shared" si="19"/>
        <v>7.5060000000000002</v>
      </c>
      <c r="G83" s="15">
        <f t="shared" si="20"/>
        <v>70.099999999999994</v>
      </c>
      <c r="H83" s="15">
        <f t="shared" si="21"/>
        <v>302.351</v>
      </c>
      <c r="I83" s="15"/>
    </row>
    <row r="84" spans="1:9" x14ac:dyDescent="0.3">
      <c r="A84">
        <v>27500</v>
      </c>
      <c r="B84" s="15">
        <f t="shared" si="22"/>
        <v>28.944000000000003</v>
      </c>
      <c r="C84" s="15">
        <f t="shared" si="16"/>
        <v>3.6070000000000007</v>
      </c>
      <c r="D84" s="22">
        <f t="shared" si="17"/>
        <v>185.80599999999998</v>
      </c>
      <c r="E84" s="15">
        <f t="shared" si="18"/>
        <v>113.97200000000001</v>
      </c>
      <c r="F84" s="15">
        <f t="shared" si="19"/>
        <v>13.96</v>
      </c>
      <c r="G84" s="15">
        <f t="shared" si="20"/>
        <v>107.41</v>
      </c>
      <c r="H84" s="15">
        <f t="shared" si="21"/>
        <v>420.73500000000001</v>
      </c>
      <c r="I84" s="15"/>
    </row>
    <row r="85" spans="1:9" x14ac:dyDescent="0.3">
      <c r="A85">
        <v>32500</v>
      </c>
      <c r="B85" s="15">
        <f t="shared" si="22"/>
        <v>56.661000000000001</v>
      </c>
      <c r="C85" s="15">
        <f t="shared" si="16"/>
        <v>21.46</v>
      </c>
      <c r="D85" s="22">
        <f t="shared" si="17"/>
        <v>324.61500000000001</v>
      </c>
      <c r="E85" s="15">
        <f t="shared" si="18"/>
        <v>196.64700000000002</v>
      </c>
      <c r="F85" s="15">
        <f t="shared" si="19"/>
        <v>28.522999999999996</v>
      </c>
      <c r="G85" s="15">
        <f t="shared" si="20"/>
        <v>159.49</v>
      </c>
      <c r="H85" s="15">
        <f t="shared" si="21"/>
        <v>456.48500000000001</v>
      </c>
      <c r="I85" s="15"/>
    </row>
    <row r="86" spans="1:9" x14ac:dyDescent="0.3">
      <c r="A86">
        <v>37500</v>
      </c>
      <c r="B86" s="15">
        <f t="shared" si="22"/>
        <v>96.167000000000002</v>
      </c>
      <c r="C86" s="15">
        <f t="shared" si="16"/>
        <v>47.472000000000001</v>
      </c>
      <c r="D86" s="22">
        <f t="shared" si="17"/>
        <v>511.27800000000002</v>
      </c>
      <c r="E86" s="15">
        <f t="shared" si="18"/>
        <v>270.11200000000002</v>
      </c>
      <c r="F86" s="15">
        <f t="shared" si="19"/>
        <v>32.631999999999998</v>
      </c>
      <c r="G86" s="15">
        <f t="shared" si="20"/>
        <v>199.03</v>
      </c>
      <c r="H86" s="15">
        <f t="shared" si="21"/>
        <v>514.2109999999999</v>
      </c>
      <c r="I86" s="15"/>
    </row>
    <row r="87" spans="1:9" x14ac:dyDescent="0.3">
      <c r="A87">
        <v>42500</v>
      </c>
      <c r="B87" s="15">
        <f t="shared" si="22"/>
        <v>143.42099999999999</v>
      </c>
      <c r="C87" s="15">
        <f t="shared" si="16"/>
        <v>41.406000000000006</v>
      </c>
      <c r="D87" s="22">
        <f t="shared" si="17"/>
        <v>606.30499999999995</v>
      </c>
      <c r="E87" s="15">
        <f t="shared" si="18"/>
        <v>299.87799999999999</v>
      </c>
      <c r="F87" s="15">
        <f t="shared" si="19"/>
        <v>42.758000000000003</v>
      </c>
      <c r="G87" s="15">
        <f t="shared" si="20"/>
        <v>228.88</v>
      </c>
      <c r="H87" s="15">
        <f t="shared" si="21"/>
        <v>530.39</v>
      </c>
      <c r="I87" s="15"/>
    </row>
    <row r="88" spans="1:9" x14ac:dyDescent="0.3">
      <c r="A88">
        <v>47500</v>
      </c>
      <c r="B88" s="15">
        <f t="shared" si="22"/>
        <v>180.041</v>
      </c>
      <c r="C88" s="15">
        <f t="shared" si="16"/>
        <v>61.167999999999999</v>
      </c>
      <c r="D88" s="22">
        <f t="shared" si="17"/>
        <v>622.76899999999989</v>
      </c>
      <c r="E88" s="15">
        <f t="shared" si="18"/>
        <v>332.01900000000001</v>
      </c>
      <c r="F88" s="15">
        <f t="shared" si="19"/>
        <v>43.045000000000002</v>
      </c>
      <c r="G88" s="15">
        <f t="shared" si="20"/>
        <v>193.43</v>
      </c>
      <c r="H88" s="15">
        <f t="shared" si="21"/>
        <v>421.83699999999999</v>
      </c>
      <c r="I88" s="15"/>
    </row>
    <row r="89" spans="1:9" x14ac:dyDescent="0.3">
      <c r="A89">
        <v>52500</v>
      </c>
      <c r="B89" s="15">
        <f t="shared" si="22"/>
        <v>186.51300000000001</v>
      </c>
      <c r="C89" s="15">
        <f t="shared" si="16"/>
        <v>67.105999999999995</v>
      </c>
      <c r="D89" s="22">
        <f t="shared" si="17"/>
        <v>636.01800000000014</v>
      </c>
      <c r="E89" s="15">
        <f t="shared" si="18"/>
        <v>316.87200000000001</v>
      </c>
      <c r="F89" s="15">
        <f t="shared" si="19"/>
        <v>35.24</v>
      </c>
      <c r="G89" s="15">
        <f t="shared" si="20"/>
        <v>223.96</v>
      </c>
      <c r="H89" s="15">
        <f t="shared" si="21"/>
        <v>396.79</v>
      </c>
      <c r="I89" s="15"/>
    </row>
    <row r="90" spans="1:9" x14ac:dyDescent="0.3">
      <c r="A90">
        <v>57500</v>
      </c>
      <c r="B90" s="15">
        <f t="shared" si="22"/>
        <v>222.60299999999998</v>
      </c>
      <c r="C90" s="15">
        <f t="shared" si="16"/>
        <v>92.963000000000008</v>
      </c>
      <c r="D90" s="22">
        <f t="shared" si="17"/>
        <v>600.69500000000005</v>
      </c>
      <c r="E90" s="15">
        <f t="shared" si="18"/>
        <v>299.61400000000003</v>
      </c>
      <c r="F90" s="15">
        <f t="shared" si="19"/>
        <v>35.467000000000006</v>
      </c>
      <c r="G90" s="15">
        <f t="shared" si="20"/>
        <v>185.62</v>
      </c>
      <c r="H90" s="15">
        <f t="shared" si="21"/>
        <v>367.93900000000002</v>
      </c>
      <c r="I90" s="15"/>
    </row>
    <row r="91" spans="1:9" x14ac:dyDescent="0.3">
      <c r="A91">
        <v>62500</v>
      </c>
      <c r="B91" s="15">
        <f t="shared" si="22"/>
        <v>217.28599999999997</v>
      </c>
      <c r="C91" s="15">
        <f t="shared" si="16"/>
        <v>62.376000000000005</v>
      </c>
      <c r="D91" s="22">
        <f t="shared" si="17"/>
        <v>469.43699999999995</v>
      </c>
      <c r="E91" s="15">
        <f t="shared" si="18"/>
        <v>206.85899999999998</v>
      </c>
      <c r="F91" s="15">
        <f t="shared" si="19"/>
        <v>31.280999999999999</v>
      </c>
      <c r="G91" s="15">
        <f t="shared" si="20"/>
        <v>169.65</v>
      </c>
      <c r="H91" s="15">
        <f t="shared" si="21"/>
        <v>254.73399999999998</v>
      </c>
      <c r="I91" s="15"/>
    </row>
    <row r="92" spans="1:9" x14ac:dyDescent="0.3">
      <c r="A92">
        <v>67500</v>
      </c>
      <c r="B92" s="15">
        <f t="shared" si="22"/>
        <v>203.25900000000001</v>
      </c>
      <c r="C92" s="15">
        <f t="shared" si="16"/>
        <v>49.159999999999989</v>
      </c>
      <c r="D92" s="22">
        <f t="shared" si="17"/>
        <v>496.44</v>
      </c>
      <c r="E92" s="15">
        <f t="shared" si="18"/>
        <v>206.06700000000001</v>
      </c>
      <c r="F92" s="15">
        <f t="shared" si="19"/>
        <v>28.152000000000001</v>
      </c>
      <c r="G92" s="15">
        <f t="shared" si="20"/>
        <v>129.80000000000001</v>
      </c>
      <c r="H92" s="15">
        <f t="shared" si="21"/>
        <v>234.86599999999999</v>
      </c>
      <c r="I92" s="15"/>
    </row>
    <row r="93" spans="1:9" x14ac:dyDescent="0.3">
      <c r="A93">
        <v>75000</v>
      </c>
      <c r="B93" s="15">
        <f t="shared" si="22"/>
        <v>408.56300000000005</v>
      </c>
      <c r="C93" s="15">
        <f t="shared" si="16"/>
        <v>100.206</v>
      </c>
      <c r="D93" s="22">
        <f t="shared" si="17"/>
        <v>610.46499999999992</v>
      </c>
      <c r="E93" s="15">
        <f t="shared" si="18"/>
        <v>256.81200000000001</v>
      </c>
      <c r="F93" s="15">
        <f t="shared" si="19"/>
        <v>35.092999999999996</v>
      </c>
      <c r="G93" s="15">
        <f t="shared" si="20"/>
        <v>189.21</v>
      </c>
      <c r="H93" s="15">
        <f t="shared" si="21"/>
        <v>344.79399999999993</v>
      </c>
      <c r="I93" s="15"/>
    </row>
    <row r="94" spans="1:9" x14ac:dyDescent="0.3">
      <c r="A94">
        <v>85000</v>
      </c>
      <c r="B94" s="15">
        <f t="shared" si="22"/>
        <v>314.99400000000003</v>
      </c>
      <c r="C94" s="15">
        <f t="shared" si="16"/>
        <v>75.441000000000003</v>
      </c>
      <c r="D94" s="22">
        <f t="shared" si="17"/>
        <v>444.65300000000002</v>
      </c>
      <c r="E94" s="15">
        <f t="shared" si="18"/>
        <v>183.637</v>
      </c>
      <c r="F94" s="15">
        <f t="shared" si="19"/>
        <v>22.839000000000002</v>
      </c>
      <c r="G94" s="15">
        <f t="shared" si="20"/>
        <v>97.22</v>
      </c>
      <c r="H94" s="15">
        <f t="shared" si="21"/>
        <v>202.62299999999999</v>
      </c>
      <c r="I94" s="15"/>
    </row>
    <row r="95" spans="1:9" x14ac:dyDescent="0.3">
      <c r="A95">
        <v>95000</v>
      </c>
      <c r="B95" s="15">
        <f t="shared" si="22"/>
        <v>275.02999999999997</v>
      </c>
      <c r="C95" s="15">
        <f t="shared" si="16"/>
        <v>58.92</v>
      </c>
      <c r="D95" s="22">
        <f t="shared" si="17"/>
        <v>281.14799999999997</v>
      </c>
      <c r="E95" s="15">
        <f t="shared" si="18"/>
        <v>139.75299999999999</v>
      </c>
      <c r="F95" s="15">
        <f t="shared" si="19"/>
        <v>7.42</v>
      </c>
      <c r="G95" s="15">
        <f t="shared" si="20"/>
        <v>74.900000000000006</v>
      </c>
      <c r="H95" s="15">
        <f t="shared" si="21"/>
        <v>135.29600000000002</v>
      </c>
      <c r="I95" s="15"/>
    </row>
    <row r="96" spans="1:9" x14ac:dyDescent="0.3">
      <c r="A96">
        <v>110000</v>
      </c>
      <c r="B96" s="15">
        <f t="shared" si="22"/>
        <v>357.07499999999999</v>
      </c>
      <c r="C96" s="15">
        <f t="shared" si="16"/>
        <v>79.713999999999999</v>
      </c>
      <c r="D96" s="22">
        <f t="shared" si="17"/>
        <v>398.33699999999999</v>
      </c>
      <c r="E96" s="15">
        <f t="shared" si="18"/>
        <v>140.703</v>
      </c>
      <c r="F96" s="15">
        <f t="shared" si="19"/>
        <v>20.563000000000002</v>
      </c>
      <c r="G96" s="15">
        <f t="shared" si="20"/>
        <v>67.11</v>
      </c>
      <c r="H96" s="15">
        <f t="shared" si="21"/>
        <v>139.30599999999998</v>
      </c>
      <c r="I96" s="15"/>
    </row>
    <row r="97" spans="1:9" x14ac:dyDescent="0.3">
      <c r="A97">
        <v>130000</v>
      </c>
      <c r="B97" s="15">
        <f t="shared" si="22"/>
        <v>323.31800000000004</v>
      </c>
      <c r="C97" s="15">
        <f t="shared" si="16"/>
        <v>62.710999999999991</v>
      </c>
      <c r="D97" s="22">
        <f t="shared" si="17"/>
        <v>229.90299999999999</v>
      </c>
      <c r="E97" s="15">
        <f t="shared" si="18"/>
        <v>65.628</v>
      </c>
      <c r="F97" s="15">
        <f t="shared" si="19"/>
        <v>14.100999999999999</v>
      </c>
      <c r="G97" s="15">
        <f t="shared" si="20"/>
        <v>40.61</v>
      </c>
      <c r="H97" s="15">
        <f t="shared" si="21"/>
        <v>69.022999999999996</v>
      </c>
      <c r="I97" s="15"/>
    </row>
    <row r="98" spans="1:9" x14ac:dyDescent="0.3">
      <c r="A98">
        <v>175000</v>
      </c>
      <c r="B98" s="15">
        <f t="shared" si="22"/>
        <v>274.06799999999998</v>
      </c>
      <c r="C98" s="15">
        <f t="shared" si="16"/>
        <v>25.672999999999998</v>
      </c>
      <c r="D98" s="22">
        <f t="shared" si="17"/>
        <v>108.41500000000001</v>
      </c>
      <c r="E98" s="15">
        <f t="shared" si="18"/>
        <v>37.023000000000003</v>
      </c>
      <c r="F98" s="15">
        <f t="shared" si="19"/>
        <v>4.4050000000000002</v>
      </c>
      <c r="G98" s="15">
        <f t="shared" si="20"/>
        <v>18.38</v>
      </c>
      <c r="H98" s="15">
        <f t="shared" si="21"/>
        <v>22.090999999999998</v>
      </c>
      <c r="I98" s="15"/>
    </row>
    <row r="99" spans="1:9" x14ac:dyDescent="0.3">
      <c r="A99">
        <v>300000</v>
      </c>
      <c r="B99" s="15">
        <f t="shared" si="22"/>
        <v>295.38499999999999</v>
      </c>
      <c r="C99" s="15">
        <f t="shared" si="16"/>
        <v>20.067999999999998</v>
      </c>
      <c r="D99" s="22">
        <f t="shared" si="17"/>
        <v>69.247</v>
      </c>
      <c r="E99" s="15">
        <f t="shared" si="18"/>
        <v>25.675999999999998</v>
      </c>
      <c r="F99" s="15">
        <f t="shared" si="19"/>
        <v>1.8580000000000001</v>
      </c>
      <c r="G99" s="15">
        <f t="shared" si="20"/>
        <v>11.16</v>
      </c>
      <c r="H99" s="15">
        <f t="shared" si="21"/>
        <v>17.439</v>
      </c>
      <c r="I99" s="15"/>
    </row>
    <row r="100" spans="1:9" x14ac:dyDescent="0.3">
      <c r="A100" s="20"/>
      <c r="B100" s="15"/>
      <c r="C100" s="15"/>
      <c r="D100" s="15"/>
      <c r="E100" s="15"/>
      <c r="F100" s="15"/>
      <c r="G100" s="15"/>
      <c r="H100" s="15"/>
      <c r="I100" s="15"/>
    </row>
    <row r="101" spans="1:9" x14ac:dyDescent="0.3">
      <c r="A101" s="20" t="s">
        <v>332</v>
      </c>
      <c r="B101" s="15">
        <f>SUM(B81:B99)</f>
        <v>3609.4090000000006</v>
      </c>
      <c r="C101" s="15">
        <f t="shared" ref="C101:H101" si="23">SUM(C81:C99)</f>
        <v>876.90900000000011</v>
      </c>
      <c r="D101" s="15">
        <f t="shared" si="23"/>
        <v>6686.5370000000003</v>
      </c>
      <c r="E101" s="15">
        <f t="shared" si="23"/>
        <v>3193.4750000000004</v>
      </c>
      <c r="F101" s="15">
        <f t="shared" si="23"/>
        <v>407.37099999999998</v>
      </c>
      <c r="G101" s="15">
        <f t="shared" si="23"/>
        <v>2212.2100000000005</v>
      </c>
      <c r="H101" s="15">
        <f t="shared" si="23"/>
        <v>5182.277</v>
      </c>
      <c r="I101" s="21">
        <f>SUM(B101:H101)</f>
        <v>22168.188000000002</v>
      </c>
    </row>
    <row r="102" spans="1:9" x14ac:dyDescent="0.3">
      <c r="A102" s="24" t="s">
        <v>333</v>
      </c>
      <c r="B102">
        <f>PEARSON(A81:A99,B81:B99)</f>
        <v>0.6319542890455162</v>
      </c>
      <c r="C102">
        <f>PEARSON($A$81:$A$99,C81:C99)</f>
        <v>0.10248386239555693</v>
      </c>
      <c r="D102">
        <f>PEARSON($A$81:$A$99,D81:D99)</f>
        <v>-0.2156251622647643</v>
      </c>
      <c r="E102">
        <f>PEARSON($A$81:$A$99,E81:E99)</f>
        <v>-0.3316002560790684</v>
      </c>
      <c r="F102">
        <f>PEARSON($A$81:$A$99,F81:F99)</f>
        <v>-0.32397412741397147</v>
      </c>
      <c r="G102">
        <f>PEARSON($A$81:$A$99,G81:G99)</f>
        <v>-0.43003089331730643</v>
      </c>
      <c r="H102">
        <f t="shared" ref="H102" si="24">PEARSON($A$81:$A$99,H81:H99)</f>
        <v>-0.62055470565400506</v>
      </c>
    </row>
    <row r="104" spans="1:9" x14ac:dyDescent="0.3">
      <c r="A104" t="s">
        <v>334</v>
      </c>
      <c r="B104">
        <f>B102*SQRT(B101-2)/SQRT(1-(B102^2))</f>
        <v>48.975455337695372</v>
      </c>
      <c r="C104">
        <f t="shared" ref="C104:H104" si="25">C102*SQRT(C101-2)/SQRT(1-(C102^2))</f>
        <v>3.047401472464093</v>
      </c>
      <c r="D104">
        <f t="shared" si="25"/>
        <v>-18.053999988683323</v>
      </c>
      <c r="E104">
        <f t="shared" si="25"/>
        <v>-19.856628391309847</v>
      </c>
      <c r="F104">
        <f t="shared" si="25"/>
        <v>-6.8946981749591192</v>
      </c>
      <c r="G104">
        <f>G102*SQRT(G101-2)/SQRT(1-(G102^2))</f>
        <v>-22.393297911082996</v>
      </c>
      <c r="H104">
        <f t="shared" si="25"/>
        <v>-56.957396664248755</v>
      </c>
    </row>
    <row r="105" spans="1:9" x14ac:dyDescent="0.3">
      <c r="A105" t="s">
        <v>335</v>
      </c>
      <c r="B105">
        <f>_xlfn.T.DIST.2T(ABS(B104),B101-2)</f>
        <v>0</v>
      </c>
      <c r="C105">
        <f t="shared" ref="C105:H105" si="26">_xlfn.T.DIST.2T(ABS(C104),C101-2)</f>
        <v>2.3777155001229143E-3</v>
      </c>
      <c r="D105">
        <f t="shared" si="26"/>
        <v>3.5280050234912275E-71</v>
      </c>
      <c r="E105">
        <f t="shared" si="26"/>
        <v>7.9570045502507764E-83</v>
      </c>
      <c r="F105">
        <f t="shared" si="26"/>
        <v>2.0811851219587649E-11</v>
      </c>
      <c r="G105">
        <f t="shared" si="26"/>
        <v>2.8792437350272122E-100</v>
      </c>
      <c r="H105">
        <f t="shared" si="26"/>
        <v>0</v>
      </c>
    </row>
  </sheetData>
  <mergeCells count="1">
    <mergeCell ref="D80:E8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5"/>
  <sheetViews>
    <sheetView topLeftCell="A45" zoomScale="87" zoomScaleNormal="70" workbookViewId="0">
      <selection activeCell="C73" sqref="C73"/>
    </sheetView>
  </sheetViews>
  <sheetFormatPr defaultRowHeight="14.4" x14ac:dyDescent="0.3"/>
  <cols>
    <col min="1" max="1" width="42.88671875" bestFit="1" customWidth="1"/>
    <col min="2" max="2" width="24.44140625" customWidth="1"/>
    <col min="3" max="3" width="18" customWidth="1"/>
    <col min="4" max="4" width="21" customWidth="1"/>
    <col min="5" max="8" width="11.109375" bestFit="1" customWidth="1"/>
    <col min="9" max="9" width="24" customWidth="1"/>
    <col min="10" max="10" width="10" bestFit="1" customWidth="1"/>
    <col min="11" max="11" width="12.109375" bestFit="1" customWidth="1"/>
    <col min="12" max="12" width="19.44140625" bestFit="1" customWidth="1"/>
    <col min="13" max="13" width="12.109375" bestFit="1" customWidth="1"/>
    <col min="19" max="19" width="14.44140625" customWidth="1"/>
  </cols>
  <sheetData>
    <row r="1" spans="1:13" x14ac:dyDescent="0.3">
      <c r="A1" t="s">
        <v>0</v>
      </c>
      <c r="B1" t="s">
        <v>284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</v>
      </c>
      <c r="K1" t="s">
        <v>10</v>
      </c>
      <c r="L1" t="s">
        <v>11</v>
      </c>
      <c r="M1" t="s">
        <v>12</v>
      </c>
    </row>
    <row r="2" spans="1:13" x14ac:dyDescent="0.3">
      <c r="E2" s="10"/>
    </row>
    <row r="3" spans="1:13" x14ac:dyDescent="0.3">
      <c r="A3" t="s">
        <v>18</v>
      </c>
      <c r="B3" t="s">
        <v>19</v>
      </c>
      <c r="C3" t="s">
        <v>311</v>
      </c>
      <c r="D3" s="10" t="s">
        <v>310</v>
      </c>
      <c r="E3" t="s">
        <v>285</v>
      </c>
      <c r="F3" t="s">
        <v>286</v>
      </c>
      <c r="G3" t="s">
        <v>287</v>
      </c>
      <c r="H3" t="s">
        <v>288</v>
      </c>
      <c r="I3" t="s">
        <v>289</v>
      </c>
    </row>
    <row r="4" spans="1:13" x14ac:dyDescent="0.3">
      <c r="D4" s="10"/>
    </row>
    <row r="5" spans="1:13" x14ac:dyDescent="0.3">
      <c r="B5" t="s">
        <v>31</v>
      </c>
      <c r="C5" t="s">
        <v>30</v>
      </c>
      <c r="D5" t="s">
        <v>30</v>
      </c>
      <c r="E5" t="s">
        <v>31</v>
      </c>
      <c r="F5" t="s">
        <v>30</v>
      </c>
      <c r="G5" t="s">
        <v>30</v>
      </c>
      <c r="H5" t="s">
        <v>182</v>
      </c>
      <c r="I5" t="s">
        <v>146</v>
      </c>
    </row>
    <row r="6" spans="1:13" x14ac:dyDescent="0.3">
      <c r="A6" t="s">
        <v>32</v>
      </c>
      <c r="B6" t="s">
        <v>121</v>
      </c>
      <c r="C6" t="s">
        <v>30</v>
      </c>
      <c r="D6" t="s">
        <v>31</v>
      </c>
      <c r="E6" t="s">
        <v>36</v>
      </c>
      <c r="F6" t="s">
        <v>44</v>
      </c>
      <c r="G6" t="s">
        <v>45</v>
      </c>
      <c r="H6" t="s">
        <v>68</v>
      </c>
      <c r="I6" t="s">
        <v>290</v>
      </c>
    </row>
    <row r="7" spans="1:13" x14ac:dyDescent="0.3">
      <c r="A7" t="s">
        <v>39</v>
      </c>
      <c r="B7" t="s">
        <v>63</v>
      </c>
      <c r="C7" t="s">
        <v>30</v>
      </c>
      <c r="D7" t="s">
        <v>44</v>
      </c>
      <c r="E7" t="s">
        <v>33</v>
      </c>
      <c r="F7" t="s">
        <v>146</v>
      </c>
      <c r="G7" t="s">
        <v>42</v>
      </c>
      <c r="H7" t="s">
        <v>137</v>
      </c>
      <c r="I7" t="s">
        <v>291</v>
      </c>
    </row>
    <row r="8" spans="1:13" x14ac:dyDescent="0.3">
      <c r="A8" t="s">
        <v>48</v>
      </c>
      <c r="B8" t="s">
        <v>143</v>
      </c>
      <c r="C8" t="s">
        <v>44</v>
      </c>
      <c r="D8" t="s">
        <v>46</v>
      </c>
      <c r="E8" t="s">
        <v>207</v>
      </c>
      <c r="F8" t="s">
        <v>68</v>
      </c>
      <c r="G8" t="s">
        <v>61</v>
      </c>
      <c r="H8" t="s">
        <v>75</v>
      </c>
      <c r="I8" t="s">
        <v>87</v>
      </c>
    </row>
    <row r="9" spans="1:13" x14ac:dyDescent="0.3">
      <c r="A9" t="s">
        <v>57</v>
      </c>
      <c r="B9" t="s">
        <v>91</v>
      </c>
      <c r="C9" t="s">
        <v>52</v>
      </c>
      <c r="D9" t="s">
        <v>68</v>
      </c>
      <c r="E9" t="s">
        <v>64</v>
      </c>
      <c r="F9" t="s">
        <v>206</v>
      </c>
      <c r="G9" t="s">
        <v>65</v>
      </c>
      <c r="H9" t="s">
        <v>94</v>
      </c>
      <c r="I9" t="s">
        <v>127</v>
      </c>
    </row>
    <row r="10" spans="1:13" x14ac:dyDescent="0.3">
      <c r="A10" t="s">
        <v>69</v>
      </c>
      <c r="B10" t="s">
        <v>119</v>
      </c>
      <c r="C10" t="s">
        <v>64</v>
      </c>
      <c r="D10" t="s">
        <v>53</v>
      </c>
      <c r="E10" t="s">
        <v>90</v>
      </c>
      <c r="F10" t="s">
        <v>119</v>
      </c>
      <c r="G10" t="s">
        <v>123</v>
      </c>
      <c r="H10" t="s">
        <v>292</v>
      </c>
      <c r="I10" t="s">
        <v>109</v>
      </c>
    </row>
    <row r="11" spans="1:13" x14ac:dyDescent="0.3">
      <c r="A11" t="s">
        <v>80</v>
      </c>
      <c r="B11" t="s">
        <v>102</v>
      </c>
      <c r="C11" t="s">
        <v>137</v>
      </c>
      <c r="D11" t="s">
        <v>91</v>
      </c>
      <c r="E11" t="s">
        <v>119</v>
      </c>
      <c r="F11" t="s">
        <v>202</v>
      </c>
      <c r="G11" t="s">
        <v>103</v>
      </c>
      <c r="H11" t="s">
        <v>77</v>
      </c>
      <c r="I11" t="s">
        <v>100</v>
      </c>
    </row>
    <row r="12" spans="1:13" x14ac:dyDescent="0.3">
      <c r="A12" t="s">
        <v>89</v>
      </c>
      <c r="B12" t="s">
        <v>101</v>
      </c>
      <c r="C12" t="s">
        <v>58</v>
      </c>
      <c r="D12" t="s">
        <v>70</v>
      </c>
      <c r="E12" t="s">
        <v>108</v>
      </c>
      <c r="F12" t="s">
        <v>202</v>
      </c>
      <c r="G12" t="s">
        <v>109</v>
      </c>
      <c r="H12" t="s">
        <v>59</v>
      </c>
      <c r="I12" t="s">
        <v>130</v>
      </c>
    </row>
    <row r="13" spans="1:13" x14ac:dyDescent="0.3">
      <c r="A13" t="s">
        <v>98</v>
      </c>
      <c r="B13" t="s">
        <v>101</v>
      </c>
      <c r="C13" t="s">
        <v>70</v>
      </c>
      <c r="D13" t="s">
        <v>66</v>
      </c>
      <c r="E13" t="s">
        <v>108</v>
      </c>
      <c r="F13" t="s">
        <v>93</v>
      </c>
      <c r="G13" t="s">
        <v>123</v>
      </c>
      <c r="H13" t="s">
        <v>72</v>
      </c>
      <c r="I13" t="s">
        <v>41</v>
      </c>
    </row>
    <row r="14" spans="1:13" x14ac:dyDescent="0.3">
      <c r="A14" t="s">
        <v>106</v>
      </c>
      <c r="B14" t="s">
        <v>71</v>
      </c>
      <c r="C14" t="s">
        <v>107</v>
      </c>
      <c r="D14" t="s">
        <v>202</v>
      </c>
      <c r="E14" t="s">
        <v>185</v>
      </c>
      <c r="F14" t="s">
        <v>84</v>
      </c>
      <c r="G14" t="s">
        <v>101</v>
      </c>
      <c r="H14" t="s">
        <v>70</v>
      </c>
      <c r="I14" t="s">
        <v>141</v>
      </c>
    </row>
    <row r="15" spans="1:13" x14ac:dyDescent="0.3">
      <c r="A15" t="s">
        <v>111</v>
      </c>
      <c r="B15" t="s">
        <v>118</v>
      </c>
      <c r="C15" t="s">
        <v>118</v>
      </c>
      <c r="D15" t="s">
        <v>191</v>
      </c>
      <c r="E15" t="s">
        <v>119</v>
      </c>
      <c r="F15" t="s">
        <v>79</v>
      </c>
      <c r="G15" t="s">
        <v>136</v>
      </c>
      <c r="H15" t="s">
        <v>203</v>
      </c>
      <c r="I15" t="s">
        <v>121</v>
      </c>
    </row>
    <row r="16" spans="1:13" x14ac:dyDescent="0.3">
      <c r="A16" t="s">
        <v>116</v>
      </c>
      <c r="B16" t="s">
        <v>74</v>
      </c>
      <c r="C16" t="s">
        <v>113</v>
      </c>
      <c r="D16" t="s">
        <v>71</v>
      </c>
      <c r="E16" t="s">
        <v>56</v>
      </c>
      <c r="F16" t="s">
        <v>82</v>
      </c>
      <c r="G16" t="s">
        <v>58</v>
      </c>
      <c r="H16" t="s">
        <v>61</v>
      </c>
      <c r="I16" t="s">
        <v>40</v>
      </c>
    </row>
    <row r="17" spans="1:20" x14ac:dyDescent="0.3">
      <c r="A17" t="s">
        <v>122</v>
      </c>
      <c r="B17" t="s">
        <v>66</v>
      </c>
      <c r="C17" t="s">
        <v>188</v>
      </c>
      <c r="D17" t="s">
        <v>103</v>
      </c>
      <c r="E17" t="s">
        <v>126</v>
      </c>
      <c r="F17" t="s">
        <v>123</v>
      </c>
      <c r="G17" t="s">
        <v>70</v>
      </c>
      <c r="H17" t="s">
        <v>74</v>
      </c>
      <c r="I17" t="s">
        <v>42</v>
      </c>
    </row>
    <row r="18" spans="1:20" x14ac:dyDescent="0.3">
      <c r="A18" t="s">
        <v>131</v>
      </c>
      <c r="B18" t="s">
        <v>74</v>
      </c>
      <c r="C18" t="s">
        <v>293</v>
      </c>
      <c r="D18" t="s">
        <v>108</v>
      </c>
      <c r="E18" t="s">
        <v>100</v>
      </c>
      <c r="F18" t="s">
        <v>60</v>
      </c>
      <c r="G18" t="s">
        <v>73</v>
      </c>
      <c r="H18" t="s">
        <v>140</v>
      </c>
      <c r="I18" t="s">
        <v>52</v>
      </c>
    </row>
    <row r="19" spans="1:20" x14ac:dyDescent="0.3">
      <c r="A19" t="s">
        <v>135</v>
      </c>
      <c r="B19" t="s">
        <v>137</v>
      </c>
      <c r="C19" t="s">
        <v>70</v>
      </c>
      <c r="D19" t="s">
        <v>92</v>
      </c>
      <c r="E19" t="s">
        <v>49</v>
      </c>
      <c r="F19" t="s">
        <v>137</v>
      </c>
      <c r="G19" t="s">
        <v>153</v>
      </c>
      <c r="H19" t="s">
        <v>115</v>
      </c>
      <c r="I19" t="s">
        <v>52</v>
      </c>
    </row>
    <row r="20" spans="1:20" x14ac:dyDescent="0.3">
      <c r="A20" t="s">
        <v>139</v>
      </c>
      <c r="B20" t="s">
        <v>194</v>
      </c>
      <c r="C20" t="s">
        <v>294</v>
      </c>
      <c r="D20" t="s">
        <v>191</v>
      </c>
      <c r="E20" t="s">
        <v>136</v>
      </c>
      <c r="F20" t="s">
        <v>73</v>
      </c>
      <c r="G20" t="s">
        <v>50</v>
      </c>
      <c r="H20" t="s">
        <v>38</v>
      </c>
      <c r="I20" t="s">
        <v>146</v>
      </c>
    </row>
    <row r="21" spans="1:20" x14ac:dyDescent="0.3">
      <c r="A21" t="s">
        <v>142</v>
      </c>
      <c r="B21" t="s">
        <v>203</v>
      </c>
      <c r="C21" t="s">
        <v>191</v>
      </c>
      <c r="D21" t="s">
        <v>54</v>
      </c>
      <c r="E21" t="s">
        <v>83</v>
      </c>
      <c r="F21" t="s">
        <v>140</v>
      </c>
      <c r="G21" t="s">
        <v>150</v>
      </c>
      <c r="H21" t="s">
        <v>153</v>
      </c>
      <c r="I21" t="s">
        <v>45</v>
      </c>
    </row>
    <row r="22" spans="1:20" x14ac:dyDescent="0.3">
      <c r="A22" t="s">
        <v>148</v>
      </c>
      <c r="B22" t="s">
        <v>34</v>
      </c>
      <c r="C22" t="s">
        <v>141</v>
      </c>
      <c r="D22" t="s">
        <v>38</v>
      </c>
      <c r="E22" t="s">
        <v>150</v>
      </c>
      <c r="F22" t="s">
        <v>34</v>
      </c>
      <c r="G22" t="s">
        <v>207</v>
      </c>
      <c r="H22" t="s">
        <v>183</v>
      </c>
      <c r="I22" t="s">
        <v>33</v>
      </c>
    </row>
    <row r="23" spans="1:20" x14ac:dyDescent="0.3">
      <c r="A23" t="s">
        <v>152</v>
      </c>
      <c r="B23" t="s">
        <v>121</v>
      </c>
      <c r="C23" t="s">
        <v>47</v>
      </c>
      <c r="D23" t="s">
        <v>34</v>
      </c>
      <c r="E23" t="s">
        <v>47</v>
      </c>
      <c r="F23" t="s">
        <v>141</v>
      </c>
      <c r="G23" t="s">
        <v>42</v>
      </c>
      <c r="H23" t="s">
        <v>47</v>
      </c>
      <c r="I23" t="s">
        <v>46</v>
      </c>
    </row>
    <row r="24" spans="1:20" x14ac:dyDescent="0.3">
      <c r="A24" t="s">
        <v>19</v>
      </c>
      <c r="B24" t="s">
        <v>155</v>
      </c>
      <c r="C24" t="s">
        <v>155</v>
      </c>
      <c r="D24" t="s">
        <v>155</v>
      </c>
      <c r="E24" t="s">
        <v>155</v>
      </c>
      <c r="F24" t="s">
        <v>155</v>
      </c>
      <c r="G24" t="s">
        <v>155</v>
      </c>
      <c r="H24" t="s">
        <v>155</v>
      </c>
      <c r="I24" t="s">
        <v>155</v>
      </c>
    </row>
    <row r="25" spans="1:20" x14ac:dyDescent="0.3">
      <c r="A25" t="s">
        <v>233</v>
      </c>
      <c r="B25" t="s">
        <v>295</v>
      </c>
      <c r="C25" t="s">
        <v>296</v>
      </c>
      <c r="D25" t="s">
        <v>297</v>
      </c>
      <c r="E25" t="s">
        <v>298</v>
      </c>
      <c r="F25" t="s">
        <v>299</v>
      </c>
      <c r="G25" t="s">
        <v>300</v>
      </c>
      <c r="H25" t="s">
        <v>301</v>
      </c>
      <c r="I25" t="s">
        <v>302</v>
      </c>
    </row>
    <row r="26" spans="1:20" x14ac:dyDescent="0.3">
      <c r="A26" t="s">
        <v>168</v>
      </c>
      <c r="B26" t="s">
        <v>303</v>
      </c>
      <c r="C26" t="s">
        <v>304</v>
      </c>
      <c r="D26" t="s">
        <v>305</v>
      </c>
      <c r="E26" t="s">
        <v>306</v>
      </c>
      <c r="F26" t="s">
        <v>307</v>
      </c>
      <c r="G26" t="s">
        <v>308</v>
      </c>
      <c r="H26" t="s">
        <v>309</v>
      </c>
      <c r="I26" t="s">
        <v>302</v>
      </c>
    </row>
    <row r="30" spans="1:20" x14ac:dyDescent="0.3">
      <c r="A30" s="5" t="s">
        <v>234</v>
      </c>
      <c r="B30" s="8" t="s">
        <v>311</v>
      </c>
      <c r="C30" s="12" t="s">
        <v>310</v>
      </c>
      <c r="D30" s="8" t="s">
        <v>285</v>
      </c>
      <c r="E30" s="8" t="s">
        <v>286</v>
      </c>
      <c r="F30" s="8" t="s">
        <v>287</v>
      </c>
      <c r="G30" s="8" t="s">
        <v>288</v>
      </c>
      <c r="H30" s="8" t="s">
        <v>289</v>
      </c>
      <c r="I30" s="11" t="s">
        <v>313</v>
      </c>
      <c r="J30" s="8" t="s">
        <v>311</v>
      </c>
      <c r="K30" s="12" t="s">
        <v>310</v>
      </c>
      <c r="L30" s="8" t="s">
        <v>285</v>
      </c>
      <c r="M30" s="8" t="s">
        <v>286</v>
      </c>
      <c r="N30" s="8" t="s">
        <v>287</v>
      </c>
      <c r="O30" s="8" t="s">
        <v>288</v>
      </c>
      <c r="P30" s="8" t="s">
        <v>289</v>
      </c>
      <c r="Q30" s="11" t="s">
        <v>313</v>
      </c>
      <c r="R30" s="18" t="s">
        <v>329</v>
      </c>
      <c r="S30" t="s">
        <v>330</v>
      </c>
    </row>
    <row r="31" spans="1:20" x14ac:dyDescent="0.3">
      <c r="A31" s="4" t="s">
        <v>232</v>
      </c>
      <c r="B31" s="8">
        <f>(C5*$C$25)/$C$25/100</f>
        <v>0</v>
      </c>
      <c r="C31" s="8">
        <f>(D5*$D$25)/$D$25/100</f>
        <v>0</v>
      </c>
      <c r="D31" s="8">
        <f>(E5*$E$25)/$E$25/100</f>
        <v>1E-3</v>
      </c>
      <c r="E31" s="8">
        <f>(F5*$F$25)/$F$25/100</f>
        <v>0</v>
      </c>
      <c r="F31" s="8">
        <f>(G5*$G$25)/$G$25/100</f>
        <v>0</v>
      </c>
      <c r="G31" s="8">
        <f>(H5*$H$25)/$H$25/100</f>
        <v>2E-3</v>
      </c>
      <c r="H31" s="8">
        <f>(I5*$I$25)/$I$25/100</f>
        <v>8.0000000000000002E-3</v>
      </c>
      <c r="I31">
        <v>5000</v>
      </c>
      <c r="J31">
        <f>(B31*I31)/$B$50</f>
        <v>0</v>
      </c>
      <c r="K31">
        <f>(C31*I31)/$C$50</f>
        <v>0</v>
      </c>
      <c r="L31">
        <f>(D31*I31)/$D$50</f>
        <v>4.9900199600798407</v>
      </c>
      <c r="M31">
        <f>(E31*I31)/$E$50</f>
        <v>0</v>
      </c>
      <c r="N31">
        <f>(F31*I31)/$F$50</f>
        <v>0</v>
      </c>
      <c r="O31">
        <f>(G31*I31)/$G$50</f>
        <v>10</v>
      </c>
      <c r="P31">
        <f>(H31*I31)/$H$50</f>
        <v>40.080160320641276</v>
      </c>
      <c r="Q31">
        <v>5000</v>
      </c>
      <c r="R31">
        <f>P50</f>
        <v>37745.490981963929</v>
      </c>
      <c r="S31" t="str">
        <f>P30</f>
        <v>1 Person</v>
      </c>
      <c r="T31">
        <f>R31</f>
        <v>37745.490981963929</v>
      </c>
    </row>
    <row r="32" spans="1:20" x14ac:dyDescent="0.3">
      <c r="A32" s="6" t="s">
        <v>32</v>
      </c>
      <c r="B32" s="8">
        <f t="shared" ref="B32:B49" si="0">(C6*$C$25)/$C$25/100</f>
        <v>0</v>
      </c>
      <c r="C32" s="8">
        <f t="shared" ref="C32:C49" si="1">(D6*$D$25)/$D$25/100</f>
        <v>1E-3</v>
      </c>
      <c r="D32" s="8">
        <f t="shared" ref="D32:D49" si="2">(E6*$E$25)/$E$25/100</f>
        <v>3.0000000000000001E-3</v>
      </c>
      <c r="E32" s="8">
        <f t="shared" ref="E32:E49" si="3">(F6*$F$25)/$F$25/100</f>
        <v>5.0000000000000001E-3</v>
      </c>
      <c r="F32" s="8">
        <f t="shared" ref="F32:F49" si="4">(G6*$G$25)/$G$25/100</f>
        <v>6.9999999999999984E-3</v>
      </c>
      <c r="G32" s="8">
        <f t="shared" ref="G32:G49" si="5">(H6*$H$25)/$H$25/100</f>
        <v>2.3E-2</v>
      </c>
      <c r="H32" s="8">
        <f t="shared" ref="H32:H49" si="6">(I6*$I$25)/$I$25/100</f>
        <v>0.183</v>
      </c>
      <c r="I32">
        <v>15000</v>
      </c>
      <c r="J32">
        <f t="shared" ref="J32:J48" si="7">(B32*I32)/$B$50</f>
        <v>0</v>
      </c>
      <c r="K32">
        <f t="shared" ref="K32:K49" si="8">(C32*I32)/$C$50</f>
        <v>15.015015015015015</v>
      </c>
      <c r="L32">
        <f t="shared" ref="L32:L49" si="9">(D32*I32)/$D$50</f>
        <v>44.91017964071856</v>
      </c>
      <c r="M32">
        <f t="shared" ref="M32:M49" si="10">(E32*I32)/$E$50</f>
        <v>75</v>
      </c>
      <c r="N32">
        <f t="shared" ref="N32:N49" si="11">(F32*I32)/$F$50</f>
        <v>105.42168674698792</v>
      </c>
      <c r="O32">
        <f t="shared" ref="O32:O49" si="12">(G32*I32)/$G$50</f>
        <v>345</v>
      </c>
      <c r="P32">
        <f t="shared" ref="P32:P49" si="13">(H32*I32)/$H$50</f>
        <v>2750.5010020040077</v>
      </c>
      <c r="Q32">
        <v>15000</v>
      </c>
      <c r="R32">
        <f>O50</f>
        <v>58197.5</v>
      </c>
      <c r="S32" t="str">
        <f>O30</f>
        <v>2 Persons</v>
      </c>
      <c r="T32">
        <f t="shared" ref="T32:T37" si="14">R32</f>
        <v>58197.5</v>
      </c>
    </row>
    <row r="33" spans="1:20" x14ac:dyDescent="0.3">
      <c r="A33" s="4" t="s">
        <v>39</v>
      </c>
      <c r="B33" s="8">
        <f t="shared" si="0"/>
        <v>0</v>
      </c>
      <c r="C33" s="8">
        <f t="shared" si="1"/>
        <v>5.0000000000000001E-3</v>
      </c>
      <c r="D33" s="8">
        <f t="shared" si="2"/>
        <v>6.0000000000000001E-3</v>
      </c>
      <c r="E33" s="8">
        <f t="shared" si="3"/>
        <v>8.0000000000000002E-3</v>
      </c>
      <c r="F33" s="8">
        <f t="shared" si="4"/>
        <v>1.8000000000000002E-2</v>
      </c>
      <c r="G33" s="8">
        <f t="shared" si="5"/>
        <v>4.4000000000000004E-2</v>
      </c>
      <c r="H33" s="8">
        <f t="shared" si="6"/>
        <v>0.154</v>
      </c>
      <c r="I33">
        <v>22500</v>
      </c>
      <c r="J33">
        <f t="shared" si="7"/>
        <v>0</v>
      </c>
      <c r="K33">
        <f t="shared" si="8"/>
        <v>112.61261261261261</v>
      </c>
      <c r="L33">
        <f t="shared" si="9"/>
        <v>134.73053892215569</v>
      </c>
      <c r="M33">
        <f t="shared" si="10"/>
        <v>180</v>
      </c>
      <c r="N33">
        <f t="shared" si="11"/>
        <v>406.62650602409639</v>
      </c>
      <c r="O33">
        <f t="shared" si="12"/>
        <v>990.00000000000011</v>
      </c>
      <c r="P33">
        <f t="shared" si="13"/>
        <v>3471.9438877755506</v>
      </c>
      <c r="Q33">
        <v>22500</v>
      </c>
      <c r="R33">
        <f>N50</f>
        <v>64264.558232931726</v>
      </c>
      <c r="S33" t="str">
        <f>N30</f>
        <v>3 Persons</v>
      </c>
      <c r="T33">
        <f t="shared" si="14"/>
        <v>64264.558232931726</v>
      </c>
    </row>
    <row r="34" spans="1:20" x14ac:dyDescent="0.3">
      <c r="A34" s="6" t="s">
        <v>48</v>
      </c>
      <c r="B34" s="8">
        <f t="shared" si="0"/>
        <v>5.0000000000000001E-3</v>
      </c>
      <c r="C34" s="8">
        <f t="shared" si="1"/>
        <v>0.01</v>
      </c>
      <c r="D34" s="8">
        <f t="shared" si="2"/>
        <v>1.6E-2</v>
      </c>
      <c r="E34" s="8">
        <f t="shared" si="3"/>
        <v>2.3E-2</v>
      </c>
      <c r="F34" s="8">
        <f t="shared" si="4"/>
        <v>4.0999999999999995E-2</v>
      </c>
      <c r="G34" s="8">
        <f t="shared" si="5"/>
        <v>8.199999999999999E-2</v>
      </c>
      <c r="H34" s="8">
        <f t="shared" si="6"/>
        <v>0.14800000000000002</v>
      </c>
      <c r="I34">
        <v>27500</v>
      </c>
      <c r="J34">
        <f t="shared" si="7"/>
        <v>137.91374122367102</v>
      </c>
      <c r="K34">
        <f t="shared" si="8"/>
        <v>275.27527527527525</v>
      </c>
      <c r="L34">
        <f t="shared" si="9"/>
        <v>439.12175648702595</v>
      </c>
      <c r="M34">
        <f t="shared" si="10"/>
        <v>632.5</v>
      </c>
      <c r="N34">
        <f t="shared" si="11"/>
        <v>1132.0281124497988</v>
      </c>
      <c r="O34">
        <f t="shared" si="12"/>
        <v>2254.9999999999995</v>
      </c>
      <c r="P34">
        <f t="shared" si="13"/>
        <v>4078.1563126252504</v>
      </c>
      <c r="Q34">
        <v>27500</v>
      </c>
      <c r="R34">
        <f>M50</f>
        <v>70635</v>
      </c>
      <c r="S34" t="str">
        <f>M30</f>
        <v>4 Persons</v>
      </c>
      <c r="T34">
        <f t="shared" si="14"/>
        <v>70635</v>
      </c>
    </row>
    <row r="35" spans="1:20" x14ac:dyDescent="0.3">
      <c r="A35" s="4" t="s">
        <v>57</v>
      </c>
      <c r="B35" s="8">
        <f t="shared" si="0"/>
        <v>9.0000000000000011E-3</v>
      </c>
      <c r="C35" s="8">
        <f t="shared" si="1"/>
        <v>2.3E-2</v>
      </c>
      <c r="D35" s="8">
        <f t="shared" si="2"/>
        <v>0.03</v>
      </c>
      <c r="E35" s="8">
        <f t="shared" si="3"/>
        <v>5.0999999999999997E-2</v>
      </c>
      <c r="F35" s="8">
        <f t="shared" si="4"/>
        <v>6.2E-2</v>
      </c>
      <c r="G35" s="8">
        <f t="shared" si="5"/>
        <v>0.106</v>
      </c>
      <c r="H35" s="8">
        <f t="shared" si="6"/>
        <v>0.126</v>
      </c>
      <c r="I35">
        <v>32500</v>
      </c>
      <c r="J35">
        <f t="shared" si="7"/>
        <v>293.38014042126383</v>
      </c>
      <c r="K35">
        <f t="shared" si="8"/>
        <v>748.24824824824827</v>
      </c>
      <c r="L35">
        <f t="shared" si="9"/>
        <v>973.05389221556891</v>
      </c>
      <c r="M35">
        <f t="shared" si="10"/>
        <v>1657.5</v>
      </c>
      <c r="N35">
        <f t="shared" si="11"/>
        <v>2023.0923694779115</v>
      </c>
      <c r="O35">
        <f t="shared" si="12"/>
        <v>3445</v>
      </c>
      <c r="P35">
        <f t="shared" si="13"/>
        <v>4103.2064128256507</v>
      </c>
      <c r="Q35">
        <v>32500</v>
      </c>
      <c r="R35">
        <f>L50</f>
        <v>74044.411177644724</v>
      </c>
      <c r="S35" t="str">
        <f>L30</f>
        <v>5 Persons</v>
      </c>
      <c r="T35">
        <f t="shared" si="14"/>
        <v>74044.411177644724</v>
      </c>
    </row>
    <row r="36" spans="1:20" x14ac:dyDescent="0.3">
      <c r="A36" s="6" t="s">
        <v>69</v>
      </c>
      <c r="B36" s="8">
        <f t="shared" si="0"/>
        <v>0.03</v>
      </c>
      <c r="C36" s="8">
        <f t="shared" si="1"/>
        <v>4.2000000000000003E-2</v>
      </c>
      <c r="D36" s="8">
        <f t="shared" si="2"/>
        <v>5.7000000000000002E-2</v>
      </c>
      <c r="E36" s="8">
        <f t="shared" si="3"/>
        <v>7.4999999999999997E-2</v>
      </c>
      <c r="F36" s="8">
        <f t="shared" si="4"/>
        <v>9.4E-2</v>
      </c>
      <c r="G36" s="8">
        <f t="shared" si="5"/>
        <v>0.11800000000000001</v>
      </c>
      <c r="H36" s="8">
        <f t="shared" si="6"/>
        <v>0.10099999999999999</v>
      </c>
      <c r="I36">
        <v>37500</v>
      </c>
      <c r="J36">
        <f t="shared" si="7"/>
        <v>1128.3851554663993</v>
      </c>
      <c r="K36">
        <f t="shared" si="8"/>
        <v>1576.5765765765766</v>
      </c>
      <c r="L36">
        <f t="shared" si="9"/>
        <v>2133.2335329341317</v>
      </c>
      <c r="M36">
        <f t="shared" si="10"/>
        <v>2812.5</v>
      </c>
      <c r="N36">
        <f t="shared" si="11"/>
        <v>3539.1566265060237</v>
      </c>
      <c r="O36">
        <f t="shared" si="12"/>
        <v>4425</v>
      </c>
      <c r="P36">
        <f t="shared" si="13"/>
        <v>3795.0901803607208</v>
      </c>
      <c r="Q36">
        <v>37500</v>
      </c>
      <c r="R36">
        <f>K50</f>
        <v>78120.620620620626</v>
      </c>
      <c r="S36" s="10" t="str">
        <f>K30</f>
        <v>6-7 persons</v>
      </c>
      <c r="T36">
        <f t="shared" si="14"/>
        <v>78120.620620620626</v>
      </c>
    </row>
    <row r="37" spans="1:20" x14ac:dyDescent="0.3">
      <c r="A37" s="4" t="s">
        <v>80</v>
      </c>
      <c r="B37" s="8">
        <f t="shared" si="0"/>
        <v>4.4000000000000004E-2</v>
      </c>
      <c r="C37" s="8">
        <f t="shared" si="1"/>
        <v>5.5999999999999994E-2</v>
      </c>
      <c r="D37" s="8">
        <f t="shared" si="2"/>
        <v>7.4999999999999997E-2</v>
      </c>
      <c r="E37" s="8">
        <f t="shared" si="3"/>
        <v>9.0999999999999998E-2</v>
      </c>
      <c r="F37" s="8">
        <f t="shared" si="4"/>
        <v>0.114</v>
      </c>
      <c r="G37" s="8">
        <f t="shared" si="5"/>
        <v>0.111</v>
      </c>
      <c r="H37" s="8">
        <f t="shared" si="6"/>
        <v>6.9000000000000006E-2</v>
      </c>
      <c r="I37">
        <v>42500</v>
      </c>
      <c r="J37">
        <f t="shared" si="7"/>
        <v>1875.6268806419259</v>
      </c>
      <c r="K37">
        <f t="shared" si="8"/>
        <v>2382.3823823823818</v>
      </c>
      <c r="L37">
        <f t="shared" si="9"/>
        <v>3181.1377245508984</v>
      </c>
      <c r="M37">
        <f t="shared" si="10"/>
        <v>3867.5</v>
      </c>
      <c r="N37">
        <f t="shared" si="11"/>
        <v>4864.4578313253005</v>
      </c>
      <c r="O37">
        <f t="shared" si="12"/>
        <v>4717.5</v>
      </c>
      <c r="P37">
        <f t="shared" si="13"/>
        <v>2938.3767535070142</v>
      </c>
      <c r="Q37">
        <v>42500</v>
      </c>
      <c r="R37">
        <f>J50</f>
        <v>84859.578736208641</v>
      </c>
      <c r="S37" t="str">
        <f>J30</f>
        <v>8 or more persons</v>
      </c>
      <c r="T37">
        <f t="shared" si="14"/>
        <v>84859.578736208641</v>
      </c>
    </row>
    <row r="38" spans="1:20" x14ac:dyDescent="0.3">
      <c r="A38" s="6" t="s">
        <v>89</v>
      </c>
      <c r="B38" s="8">
        <f t="shared" si="0"/>
        <v>0.05</v>
      </c>
      <c r="C38" s="8">
        <f t="shared" si="1"/>
        <v>7.2999999999999995E-2</v>
      </c>
      <c r="D38" s="8">
        <f t="shared" si="2"/>
        <v>0.09</v>
      </c>
      <c r="E38" s="8">
        <f t="shared" si="3"/>
        <v>9.0999999999999998E-2</v>
      </c>
      <c r="F38" s="8">
        <f t="shared" si="4"/>
        <v>0.10099999999999999</v>
      </c>
      <c r="G38" s="8">
        <f t="shared" si="5"/>
        <v>7.9000000000000001E-2</v>
      </c>
      <c r="H38" s="8">
        <f t="shared" si="6"/>
        <v>4.9000000000000002E-2</v>
      </c>
      <c r="I38">
        <v>47500</v>
      </c>
      <c r="J38">
        <f t="shared" si="7"/>
        <v>2382.146439317954</v>
      </c>
      <c r="K38">
        <f t="shared" si="8"/>
        <v>3470.9709709709709</v>
      </c>
      <c r="L38">
        <f t="shared" si="9"/>
        <v>4266.4670658682635</v>
      </c>
      <c r="M38">
        <f t="shared" si="10"/>
        <v>4322.5</v>
      </c>
      <c r="N38">
        <f t="shared" si="11"/>
        <v>4816.7670682730923</v>
      </c>
      <c r="O38">
        <f t="shared" si="12"/>
        <v>3752.5</v>
      </c>
      <c r="P38">
        <f t="shared" si="13"/>
        <v>2332.1643286573144</v>
      </c>
      <c r="Q38">
        <v>47500</v>
      </c>
    </row>
    <row r="39" spans="1:20" x14ac:dyDescent="0.3">
      <c r="A39" s="4" t="s">
        <v>98</v>
      </c>
      <c r="B39" s="8">
        <f t="shared" si="0"/>
        <v>7.2999999999999995E-2</v>
      </c>
      <c r="C39" s="8">
        <f t="shared" si="1"/>
        <v>8.8000000000000009E-2</v>
      </c>
      <c r="D39" s="8">
        <f t="shared" si="2"/>
        <v>0.09</v>
      </c>
      <c r="E39" s="8">
        <f t="shared" si="3"/>
        <v>9.5000000000000001E-2</v>
      </c>
      <c r="F39" s="8">
        <f t="shared" si="4"/>
        <v>9.4E-2</v>
      </c>
      <c r="G39" s="8">
        <f t="shared" si="5"/>
        <v>7.0000000000000007E-2</v>
      </c>
      <c r="H39" s="8">
        <f t="shared" si="6"/>
        <v>3.6000000000000004E-2</v>
      </c>
      <c r="I39">
        <v>52500</v>
      </c>
      <c r="J39">
        <f t="shared" si="7"/>
        <v>3844.0320962888663</v>
      </c>
      <c r="K39">
        <f t="shared" si="8"/>
        <v>4624.6246246246255</v>
      </c>
      <c r="L39">
        <f t="shared" si="9"/>
        <v>4715.5688622754487</v>
      </c>
      <c r="M39">
        <f t="shared" si="10"/>
        <v>4987.5</v>
      </c>
      <c r="N39">
        <f t="shared" si="11"/>
        <v>4954.8192771084332</v>
      </c>
      <c r="O39">
        <f t="shared" si="12"/>
        <v>3675.0000000000005</v>
      </c>
      <c r="P39">
        <f t="shared" si="13"/>
        <v>1893.7875751503007</v>
      </c>
      <c r="Q39">
        <v>52500</v>
      </c>
    </row>
    <row r="40" spans="1:20" x14ac:dyDescent="0.3">
      <c r="A40" s="6" t="s">
        <v>106</v>
      </c>
      <c r="B40" s="8">
        <f t="shared" si="0"/>
        <v>0.06</v>
      </c>
      <c r="C40" s="8">
        <f t="shared" si="1"/>
        <v>9.0999999999999998E-2</v>
      </c>
      <c r="D40" s="8">
        <f t="shared" si="2"/>
        <v>9.1999999999999998E-2</v>
      </c>
      <c r="E40" s="8">
        <f t="shared" si="3"/>
        <v>8.900000000000001E-2</v>
      </c>
      <c r="F40" s="8">
        <f t="shared" si="4"/>
        <v>8.4000000000000005E-2</v>
      </c>
      <c r="G40" s="8">
        <f t="shared" si="5"/>
        <v>7.2999999999999995E-2</v>
      </c>
      <c r="H40" s="8">
        <f t="shared" si="6"/>
        <v>2.4E-2</v>
      </c>
      <c r="I40">
        <v>57500</v>
      </c>
      <c r="J40">
        <f t="shared" si="7"/>
        <v>3460.3811434302911</v>
      </c>
      <c r="K40">
        <f t="shared" si="8"/>
        <v>5237.7377377377379</v>
      </c>
      <c r="L40">
        <f t="shared" si="9"/>
        <v>5279.4411177644706</v>
      </c>
      <c r="M40">
        <f t="shared" si="10"/>
        <v>5117.5000000000009</v>
      </c>
      <c r="N40">
        <f t="shared" si="11"/>
        <v>4849.3975903614455</v>
      </c>
      <c r="O40">
        <f t="shared" si="12"/>
        <v>4197.5</v>
      </c>
      <c r="P40">
        <f t="shared" si="13"/>
        <v>1382.7655310621242</v>
      </c>
      <c r="Q40">
        <v>57500</v>
      </c>
    </row>
    <row r="41" spans="1:20" x14ac:dyDescent="0.3">
      <c r="A41" s="4" t="s">
        <v>111</v>
      </c>
      <c r="B41" s="8">
        <f t="shared" si="0"/>
        <v>6.4000000000000001E-2</v>
      </c>
      <c r="C41" s="8">
        <f t="shared" si="1"/>
        <v>0.08</v>
      </c>
      <c r="D41" s="8">
        <f t="shared" si="2"/>
        <v>7.4999999999999997E-2</v>
      </c>
      <c r="E41" s="8">
        <f t="shared" si="3"/>
        <v>7.2000000000000008E-2</v>
      </c>
      <c r="F41" s="8">
        <f t="shared" si="4"/>
        <v>6.3E-2</v>
      </c>
      <c r="G41" s="8">
        <f t="shared" si="5"/>
        <v>3.7000000000000005E-2</v>
      </c>
      <c r="H41" s="8">
        <f t="shared" si="6"/>
        <v>0.02</v>
      </c>
      <c r="I41">
        <v>62500</v>
      </c>
      <c r="J41">
        <f t="shared" si="7"/>
        <v>4012.036108324975</v>
      </c>
      <c r="K41">
        <f t="shared" si="8"/>
        <v>5005.0050050050049</v>
      </c>
      <c r="L41">
        <f t="shared" si="9"/>
        <v>4678.1437125748507</v>
      </c>
      <c r="M41">
        <f t="shared" si="10"/>
        <v>4500.0000000000009</v>
      </c>
      <c r="N41">
        <f t="shared" si="11"/>
        <v>3953.3132530120479</v>
      </c>
      <c r="O41">
        <f t="shared" si="12"/>
        <v>2312.5000000000005</v>
      </c>
      <c r="P41">
        <f t="shared" si="13"/>
        <v>1252.5050100200399</v>
      </c>
      <c r="Q41">
        <v>62500</v>
      </c>
    </row>
    <row r="42" spans="1:20" x14ac:dyDescent="0.3">
      <c r="A42" s="6" t="s">
        <v>116</v>
      </c>
      <c r="B42" s="8">
        <f t="shared" si="0"/>
        <v>8.3000000000000004E-2</v>
      </c>
      <c r="C42" s="8">
        <f t="shared" si="1"/>
        <v>8.1000000000000003E-2</v>
      </c>
      <c r="D42" s="8">
        <f t="shared" si="2"/>
        <v>7.5999999999999998E-2</v>
      </c>
      <c r="E42" s="8">
        <f t="shared" si="3"/>
        <v>6.5000000000000002E-2</v>
      </c>
      <c r="F42" s="8">
        <f t="shared" si="4"/>
        <v>0.05</v>
      </c>
      <c r="G42" s="8">
        <f t="shared" si="5"/>
        <v>4.0999999999999995E-2</v>
      </c>
      <c r="H42" s="8">
        <f t="shared" si="6"/>
        <v>1.3000000000000001E-2</v>
      </c>
      <c r="I42">
        <v>67500</v>
      </c>
      <c r="J42">
        <f t="shared" si="7"/>
        <v>5619.3580742226677</v>
      </c>
      <c r="K42">
        <f t="shared" si="8"/>
        <v>5472.9729729729734</v>
      </c>
      <c r="L42">
        <f t="shared" si="9"/>
        <v>5119.7604790419164</v>
      </c>
      <c r="M42">
        <f t="shared" si="10"/>
        <v>4387.5</v>
      </c>
      <c r="N42">
        <f t="shared" si="11"/>
        <v>3388.5542168674697</v>
      </c>
      <c r="O42">
        <f t="shared" si="12"/>
        <v>2767.4999999999995</v>
      </c>
      <c r="P42">
        <f t="shared" si="13"/>
        <v>879.25851703406818</v>
      </c>
      <c r="Q42">
        <v>67500</v>
      </c>
    </row>
    <row r="43" spans="1:20" x14ac:dyDescent="0.3">
      <c r="A43" s="4" t="s">
        <v>122</v>
      </c>
      <c r="B43" s="8">
        <f t="shared" si="0"/>
        <v>0.122</v>
      </c>
      <c r="C43" s="8">
        <f t="shared" si="1"/>
        <v>0.114</v>
      </c>
      <c r="D43" s="8">
        <f t="shared" si="2"/>
        <v>0.11</v>
      </c>
      <c r="E43" s="8">
        <f t="shared" si="3"/>
        <v>9.4E-2</v>
      </c>
      <c r="F43" s="8">
        <f t="shared" si="4"/>
        <v>7.2999999999999995E-2</v>
      </c>
      <c r="G43" s="8">
        <f t="shared" si="5"/>
        <v>6.0999999999999999E-2</v>
      </c>
      <c r="H43" s="8">
        <f t="shared" si="6"/>
        <v>1.8000000000000002E-2</v>
      </c>
      <c r="I43">
        <v>75000</v>
      </c>
      <c r="J43">
        <f t="shared" si="7"/>
        <v>9177.5325977933808</v>
      </c>
      <c r="K43">
        <f t="shared" si="8"/>
        <v>8558.5585585585577</v>
      </c>
      <c r="L43">
        <f t="shared" si="9"/>
        <v>8233.5329341317374</v>
      </c>
      <c r="M43">
        <f t="shared" si="10"/>
        <v>7050</v>
      </c>
      <c r="N43">
        <f t="shared" si="11"/>
        <v>5496.9879518072285</v>
      </c>
      <c r="O43">
        <f t="shared" si="12"/>
        <v>4575</v>
      </c>
      <c r="P43">
        <f t="shared" si="13"/>
        <v>1352.7054108216435</v>
      </c>
      <c r="Q43">
        <v>75000</v>
      </c>
    </row>
    <row r="44" spans="1:20" x14ac:dyDescent="0.3">
      <c r="A44" s="6" t="s">
        <v>131</v>
      </c>
      <c r="B44" s="8">
        <f t="shared" si="0"/>
        <v>0.127</v>
      </c>
      <c r="C44" s="8">
        <f t="shared" si="1"/>
        <v>0.09</v>
      </c>
      <c r="D44" s="8">
        <f t="shared" si="2"/>
        <v>6.9000000000000006E-2</v>
      </c>
      <c r="E44" s="8">
        <f t="shared" si="3"/>
        <v>5.9000000000000004E-2</v>
      </c>
      <c r="F44" s="8">
        <f t="shared" si="4"/>
        <v>5.7999999999999996E-2</v>
      </c>
      <c r="G44" s="8">
        <f t="shared" si="5"/>
        <v>3.4000000000000002E-2</v>
      </c>
      <c r="H44" s="8">
        <f t="shared" si="6"/>
        <v>9.0000000000000011E-3</v>
      </c>
      <c r="I44">
        <v>85000</v>
      </c>
      <c r="J44">
        <f t="shared" si="7"/>
        <v>10827.482447342027</v>
      </c>
      <c r="K44">
        <f t="shared" si="8"/>
        <v>7657.6576576576581</v>
      </c>
      <c r="L44">
        <f t="shared" si="9"/>
        <v>5853.2934131736538</v>
      </c>
      <c r="M44">
        <f t="shared" si="10"/>
        <v>5015</v>
      </c>
      <c r="N44">
        <f t="shared" si="11"/>
        <v>4949.7991967871485</v>
      </c>
      <c r="O44">
        <f t="shared" si="12"/>
        <v>2890</v>
      </c>
      <c r="P44">
        <f t="shared" si="13"/>
        <v>766.53306613226459</v>
      </c>
      <c r="Q44">
        <v>85000</v>
      </c>
    </row>
    <row r="45" spans="1:20" x14ac:dyDescent="0.3">
      <c r="A45" s="4" t="s">
        <v>135</v>
      </c>
      <c r="B45" s="8">
        <f t="shared" si="0"/>
        <v>7.2999999999999995E-2</v>
      </c>
      <c r="C45" s="8">
        <f t="shared" si="1"/>
        <v>6.7000000000000004E-2</v>
      </c>
      <c r="D45" s="8">
        <f t="shared" si="2"/>
        <v>5.5E-2</v>
      </c>
      <c r="E45" s="8">
        <f t="shared" si="3"/>
        <v>4.4000000000000004E-2</v>
      </c>
      <c r="F45" s="8">
        <f t="shared" si="4"/>
        <v>3.1E-2</v>
      </c>
      <c r="G45" s="8">
        <f t="shared" si="5"/>
        <v>2.6000000000000002E-2</v>
      </c>
      <c r="H45" s="8">
        <f t="shared" si="6"/>
        <v>9.0000000000000011E-3</v>
      </c>
      <c r="I45">
        <v>95000</v>
      </c>
      <c r="J45">
        <f t="shared" si="7"/>
        <v>6955.8676028084255</v>
      </c>
      <c r="K45">
        <f t="shared" si="8"/>
        <v>6371.3713713713714</v>
      </c>
      <c r="L45">
        <f t="shared" si="9"/>
        <v>5214.5708582834332</v>
      </c>
      <c r="M45">
        <f t="shared" si="10"/>
        <v>4180</v>
      </c>
      <c r="N45">
        <f t="shared" si="11"/>
        <v>2956.8273092369473</v>
      </c>
      <c r="O45">
        <f t="shared" si="12"/>
        <v>2470</v>
      </c>
      <c r="P45">
        <f t="shared" si="13"/>
        <v>856.71342685370746</v>
      </c>
      <c r="Q45">
        <v>95000</v>
      </c>
    </row>
    <row r="46" spans="1:20" x14ac:dyDescent="0.3">
      <c r="A46" s="6" t="s">
        <v>139</v>
      </c>
      <c r="B46" s="8">
        <f t="shared" si="0"/>
        <v>0.13400000000000001</v>
      </c>
      <c r="C46" s="8">
        <f t="shared" si="1"/>
        <v>0.08</v>
      </c>
      <c r="D46" s="8">
        <f t="shared" si="2"/>
        <v>6.3E-2</v>
      </c>
      <c r="E46" s="8">
        <f t="shared" si="3"/>
        <v>5.7999999999999996E-2</v>
      </c>
      <c r="F46" s="8">
        <f t="shared" si="4"/>
        <v>0.04</v>
      </c>
      <c r="G46" s="8">
        <f t="shared" si="5"/>
        <v>2.8999999999999998E-2</v>
      </c>
      <c r="H46" s="8">
        <f t="shared" si="6"/>
        <v>8.0000000000000002E-3</v>
      </c>
      <c r="I46">
        <v>110000</v>
      </c>
      <c r="J46">
        <f t="shared" si="7"/>
        <v>14784.353059177532</v>
      </c>
      <c r="K46">
        <f t="shared" si="8"/>
        <v>8808.808808808808</v>
      </c>
      <c r="L46">
        <f t="shared" si="9"/>
        <v>6916.1676646706583</v>
      </c>
      <c r="M46">
        <f t="shared" si="10"/>
        <v>6380</v>
      </c>
      <c r="N46">
        <f t="shared" si="11"/>
        <v>4417.6706827309235</v>
      </c>
      <c r="O46">
        <f t="shared" si="12"/>
        <v>3190</v>
      </c>
      <c r="P46">
        <f t="shared" si="13"/>
        <v>881.76352705410807</v>
      </c>
      <c r="Q46">
        <v>110000</v>
      </c>
    </row>
    <row r="47" spans="1:20" x14ac:dyDescent="0.3">
      <c r="A47" s="4" t="s">
        <v>142</v>
      </c>
      <c r="B47" s="8">
        <f t="shared" si="0"/>
        <v>0.08</v>
      </c>
      <c r="C47" s="8">
        <f t="shared" si="1"/>
        <v>4.7E-2</v>
      </c>
      <c r="D47" s="8">
        <f t="shared" si="2"/>
        <v>4.2999999999999997E-2</v>
      </c>
      <c r="E47" s="8">
        <f t="shared" si="3"/>
        <v>3.4000000000000002E-2</v>
      </c>
      <c r="F47" s="8">
        <f t="shared" si="4"/>
        <v>3.2000000000000008E-2</v>
      </c>
      <c r="G47" s="8">
        <f t="shared" si="5"/>
        <v>3.1E-2</v>
      </c>
      <c r="H47" s="8">
        <f t="shared" si="6"/>
        <v>6.9999999999999993E-3</v>
      </c>
      <c r="I47">
        <v>130000</v>
      </c>
      <c r="J47">
        <f t="shared" si="7"/>
        <v>10431.293881644935</v>
      </c>
      <c r="K47">
        <f t="shared" si="8"/>
        <v>6116.1161161161162</v>
      </c>
      <c r="L47">
        <f t="shared" si="9"/>
        <v>5578.8423153692611</v>
      </c>
      <c r="M47">
        <f t="shared" si="10"/>
        <v>4420</v>
      </c>
      <c r="N47">
        <f t="shared" si="11"/>
        <v>4176.7068273092373</v>
      </c>
      <c r="O47">
        <f t="shared" si="12"/>
        <v>4030</v>
      </c>
      <c r="P47">
        <f t="shared" si="13"/>
        <v>911.82364729458891</v>
      </c>
      <c r="Q47">
        <v>130000</v>
      </c>
    </row>
    <row r="48" spans="1:20" x14ac:dyDescent="0.3">
      <c r="A48" s="6" t="s">
        <v>148</v>
      </c>
      <c r="B48" s="8">
        <f t="shared" si="0"/>
        <v>2.4E-2</v>
      </c>
      <c r="C48" s="8">
        <f t="shared" si="1"/>
        <v>2.8999999999999998E-2</v>
      </c>
      <c r="D48" s="8">
        <f t="shared" si="2"/>
        <v>3.2000000000000001E-2</v>
      </c>
      <c r="E48" s="8">
        <f t="shared" si="3"/>
        <v>2.2000000000000002E-2</v>
      </c>
      <c r="F48" s="8">
        <f t="shared" si="4"/>
        <v>1.6000000000000004E-2</v>
      </c>
      <c r="G48" s="8">
        <f t="shared" si="5"/>
        <v>1.3999999999999999E-2</v>
      </c>
      <c r="H48" s="8">
        <f t="shared" si="6"/>
        <v>6.0000000000000001E-3</v>
      </c>
      <c r="I48">
        <v>175000</v>
      </c>
      <c r="J48">
        <f t="shared" si="7"/>
        <v>4212.6379137412241</v>
      </c>
      <c r="K48">
        <f t="shared" si="8"/>
        <v>5080.0800800800798</v>
      </c>
      <c r="L48">
        <f t="shared" si="9"/>
        <v>5588.8223552894215</v>
      </c>
      <c r="M48">
        <f t="shared" si="10"/>
        <v>3850.0000000000005</v>
      </c>
      <c r="N48">
        <f t="shared" si="11"/>
        <v>2811.2449799196788</v>
      </c>
      <c r="O48">
        <f t="shared" si="12"/>
        <v>2449.9999999999995</v>
      </c>
      <c r="P48">
        <f t="shared" si="13"/>
        <v>1052.1042084168334</v>
      </c>
      <c r="Q48">
        <v>175000</v>
      </c>
    </row>
    <row r="49" spans="1:17" x14ac:dyDescent="0.3">
      <c r="A49" s="4" t="s">
        <v>152</v>
      </c>
      <c r="B49" s="8">
        <f t="shared" si="0"/>
        <v>1.9E-2</v>
      </c>
      <c r="C49" s="8">
        <f t="shared" si="1"/>
        <v>2.2000000000000002E-2</v>
      </c>
      <c r="D49" s="8">
        <f t="shared" si="2"/>
        <v>1.9E-2</v>
      </c>
      <c r="E49" s="8">
        <f t="shared" si="3"/>
        <v>2.4E-2</v>
      </c>
      <c r="F49" s="8">
        <f t="shared" si="4"/>
        <v>1.8000000000000002E-2</v>
      </c>
      <c r="G49" s="8">
        <f t="shared" si="5"/>
        <v>1.9E-2</v>
      </c>
      <c r="H49" s="8">
        <f t="shared" si="6"/>
        <v>0.01</v>
      </c>
      <c r="I49">
        <v>300000</v>
      </c>
      <c r="J49">
        <f>(B49*I49)/$B$50</f>
        <v>5717.1514543630892</v>
      </c>
      <c r="K49">
        <f t="shared" si="8"/>
        <v>6606.6066066066078</v>
      </c>
      <c r="L49">
        <f t="shared" si="9"/>
        <v>5688.622754491018</v>
      </c>
      <c r="M49">
        <f t="shared" si="10"/>
        <v>7200</v>
      </c>
      <c r="N49">
        <f t="shared" si="11"/>
        <v>5421.6867469879526</v>
      </c>
      <c r="O49">
        <f t="shared" si="12"/>
        <v>5700</v>
      </c>
      <c r="P49">
        <f t="shared" si="13"/>
        <v>3006.012024048096</v>
      </c>
      <c r="Q49">
        <v>300000</v>
      </c>
    </row>
    <row r="50" spans="1:17" x14ac:dyDescent="0.3">
      <c r="A50" s="7" t="s">
        <v>19</v>
      </c>
      <c r="B50" s="16">
        <f>SUM(B31:B49)</f>
        <v>0.997</v>
      </c>
      <c r="C50" s="16">
        <f t="shared" ref="C50:H50" si="15">SUM(C31:C49)</f>
        <v>0.999</v>
      </c>
      <c r="D50" s="16">
        <f t="shared" si="15"/>
        <v>1.002</v>
      </c>
      <c r="E50" s="8">
        <f t="shared" si="15"/>
        <v>1</v>
      </c>
      <c r="F50" s="16">
        <f t="shared" si="15"/>
        <v>0.99600000000000011</v>
      </c>
      <c r="G50" s="8">
        <f t="shared" si="15"/>
        <v>1</v>
      </c>
      <c r="H50" s="16">
        <f t="shared" si="15"/>
        <v>0.99800000000000011</v>
      </c>
      <c r="I50" s="17" t="s">
        <v>328</v>
      </c>
      <c r="J50">
        <f>SUM(J31:J49)</f>
        <v>84859.578736208641</v>
      </c>
      <c r="K50">
        <f t="shared" ref="K50:P50" si="16">SUM(K31:K49)</f>
        <v>78120.620620620626</v>
      </c>
      <c r="L50">
        <f t="shared" si="16"/>
        <v>74044.411177644724</v>
      </c>
      <c r="M50">
        <f t="shared" si="16"/>
        <v>70635</v>
      </c>
      <c r="N50">
        <f t="shared" si="16"/>
        <v>64264.558232931726</v>
      </c>
      <c r="O50">
        <f t="shared" si="16"/>
        <v>58197.5</v>
      </c>
      <c r="P50">
        <f t="shared" si="16"/>
        <v>37745.490981963929</v>
      </c>
    </row>
    <row r="51" spans="1:17" x14ac:dyDescent="0.3">
      <c r="A51" s="11" t="s">
        <v>313</v>
      </c>
    </row>
    <row r="52" spans="1:17" x14ac:dyDescent="0.3">
      <c r="A52" s="20">
        <v>5000</v>
      </c>
      <c r="B52" s="15">
        <f>(C5*$C$25)/100</f>
        <v>0</v>
      </c>
      <c r="C52" s="15">
        <f>(D5*$D$25)/100</f>
        <v>0</v>
      </c>
      <c r="D52" s="15">
        <f>(E5*$E$25)/100</f>
        <v>4.915</v>
      </c>
      <c r="E52" s="15">
        <f>(F5*$F$25)/100</f>
        <v>0</v>
      </c>
      <c r="F52" s="15">
        <f>(G5*$G$25)/100</f>
        <v>0</v>
      </c>
      <c r="G52" s="15">
        <f>(H5*$H$25)/100</f>
        <v>6.0120000000000005</v>
      </c>
      <c r="H52" s="15">
        <f>(I5*$I$25)/100</f>
        <v>13.64</v>
      </c>
    </row>
    <row r="53" spans="1:17" x14ac:dyDescent="0.3">
      <c r="A53" s="20">
        <v>15000</v>
      </c>
      <c r="B53" s="15">
        <f t="shared" ref="B53:B70" si="17">(C6*$C$25)/100</f>
        <v>0</v>
      </c>
      <c r="C53" s="15">
        <f t="shared" ref="C53:C70" si="18">(D6*$D$25)/100</f>
        <v>3.5660000000000003</v>
      </c>
      <c r="D53" s="15">
        <f t="shared" ref="D53:D70" si="19">(E6*$E$25)/100</f>
        <v>14.744999999999999</v>
      </c>
      <c r="E53" s="15">
        <f t="shared" ref="E53:E70" si="20">(F6*$F$25)/100</f>
        <v>24.85</v>
      </c>
      <c r="F53" s="15">
        <f t="shared" ref="F53:F70" si="21">(G6*$G$25)/100</f>
        <v>24.128999999999998</v>
      </c>
      <c r="G53" s="15">
        <f t="shared" ref="G53:G70" si="22">(H6*$H$25)/100</f>
        <v>69.137999999999991</v>
      </c>
      <c r="H53" s="15">
        <f t="shared" ref="H53:H70" si="23">(I6*$I$25)/100</f>
        <v>312.01499999999999</v>
      </c>
    </row>
    <row r="54" spans="1:17" x14ac:dyDescent="0.3">
      <c r="A54" s="20">
        <v>22500</v>
      </c>
      <c r="B54" s="15">
        <f t="shared" si="17"/>
        <v>0</v>
      </c>
      <c r="C54" s="15">
        <f t="shared" si="18"/>
        <v>17.829999999999998</v>
      </c>
      <c r="D54" s="15">
        <f t="shared" si="19"/>
        <v>29.49</v>
      </c>
      <c r="E54" s="15">
        <f t="shared" si="20"/>
        <v>39.76</v>
      </c>
      <c r="F54" s="15">
        <f t="shared" si="21"/>
        <v>62.046000000000006</v>
      </c>
      <c r="G54" s="15">
        <f t="shared" si="22"/>
        <v>132.26400000000001</v>
      </c>
      <c r="H54" s="15">
        <f t="shared" si="23"/>
        <v>262.57</v>
      </c>
    </row>
    <row r="55" spans="1:17" x14ac:dyDescent="0.3">
      <c r="A55" s="20">
        <v>27500</v>
      </c>
      <c r="B55" s="15">
        <f t="shared" si="17"/>
        <v>2.81</v>
      </c>
      <c r="C55" s="15">
        <f t="shared" si="18"/>
        <v>35.659999999999997</v>
      </c>
      <c r="D55" s="15">
        <f t="shared" si="19"/>
        <v>78.64</v>
      </c>
      <c r="E55" s="15">
        <f t="shared" si="20"/>
        <v>114.31</v>
      </c>
      <c r="F55" s="15">
        <f t="shared" si="21"/>
        <v>141.327</v>
      </c>
      <c r="G55" s="15">
        <f t="shared" si="22"/>
        <v>246.49199999999996</v>
      </c>
      <c r="H55" s="15">
        <f t="shared" si="23"/>
        <v>252.34</v>
      </c>
    </row>
    <row r="56" spans="1:17" x14ac:dyDescent="0.3">
      <c r="A56" s="20">
        <v>32500</v>
      </c>
      <c r="B56" s="15">
        <f>(C9*$C$25)/100</f>
        <v>5.0579999999999998</v>
      </c>
      <c r="C56" s="15">
        <f t="shared" si="18"/>
        <v>82.017999999999986</v>
      </c>
      <c r="D56" s="15">
        <f t="shared" si="19"/>
        <v>147.44999999999999</v>
      </c>
      <c r="E56" s="15">
        <f t="shared" si="20"/>
        <v>253.47</v>
      </c>
      <c r="F56" s="15">
        <f t="shared" si="21"/>
        <v>213.71400000000003</v>
      </c>
      <c r="G56" s="15">
        <f t="shared" si="22"/>
        <v>318.63599999999997</v>
      </c>
      <c r="H56" s="15">
        <f t="shared" si="23"/>
        <v>214.83</v>
      </c>
    </row>
    <row r="57" spans="1:17" x14ac:dyDescent="0.3">
      <c r="A57" s="20">
        <v>37500</v>
      </c>
      <c r="B57" s="15">
        <f t="shared" si="17"/>
        <v>16.86</v>
      </c>
      <c r="C57" s="15">
        <f t="shared" si="18"/>
        <v>149.77200000000002</v>
      </c>
      <c r="D57" s="15">
        <f t="shared" si="19"/>
        <v>280.15499999999997</v>
      </c>
      <c r="E57" s="15">
        <f t="shared" si="20"/>
        <v>372.75</v>
      </c>
      <c r="F57" s="15">
        <f t="shared" si="21"/>
        <v>324.01800000000003</v>
      </c>
      <c r="G57" s="15">
        <f t="shared" si="22"/>
        <v>354.70800000000003</v>
      </c>
      <c r="H57" s="15">
        <f t="shared" si="23"/>
        <v>172.20500000000001</v>
      </c>
    </row>
    <row r="58" spans="1:17" x14ac:dyDescent="0.3">
      <c r="A58" s="20">
        <v>42500</v>
      </c>
      <c r="B58" s="15">
        <f t="shared" si="17"/>
        <v>24.728000000000002</v>
      </c>
      <c r="C58" s="15">
        <f t="shared" si="18"/>
        <v>199.696</v>
      </c>
      <c r="D58" s="15">
        <f t="shared" si="19"/>
        <v>368.625</v>
      </c>
      <c r="E58" s="15">
        <f t="shared" si="20"/>
        <v>452.27</v>
      </c>
      <c r="F58" s="15">
        <f t="shared" si="21"/>
        <v>392.95800000000003</v>
      </c>
      <c r="G58" s="15">
        <f t="shared" si="22"/>
        <v>333.666</v>
      </c>
      <c r="H58" s="15">
        <f t="shared" si="23"/>
        <v>117.645</v>
      </c>
    </row>
    <row r="59" spans="1:17" x14ac:dyDescent="0.3">
      <c r="A59" s="20">
        <v>47500</v>
      </c>
      <c r="B59" s="15">
        <f t="shared" si="17"/>
        <v>28.1</v>
      </c>
      <c r="C59" s="15">
        <f t="shared" si="18"/>
        <v>260.31799999999998</v>
      </c>
      <c r="D59" s="15">
        <f t="shared" si="19"/>
        <v>442.35</v>
      </c>
      <c r="E59" s="15">
        <f t="shared" si="20"/>
        <v>452.27</v>
      </c>
      <c r="F59" s="15">
        <f t="shared" si="21"/>
        <v>348.14699999999999</v>
      </c>
      <c r="G59" s="15">
        <f t="shared" si="22"/>
        <v>237.47400000000002</v>
      </c>
      <c r="H59" s="15">
        <f t="shared" si="23"/>
        <v>83.545000000000002</v>
      </c>
    </row>
    <row r="60" spans="1:17" x14ac:dyDescent="0.3">
      <c r="A60" s="20">
        <v>52500</v>
      </c>
      <c r="B60" s="15">
        <f t="shared" si="17"/>
        <v>41.025999999999996</v>
      </c>
      <c r="C60" s="15">
        <f t="shared" si="18"/>
        <v>313.80800000000005</v>
      </c>
      <c r="D60" s="15">
        <f t="shared" si="19"/>
        <v>442.35</v>
      </c>
      <c r="E60" s="15">
        <f t="shared" si="20"/>
        <v>472.15</v>
      </c>
      <c r="F60" s="15">
        <f t="shared" si="21"/>
        <v>324.01800000000003</v>
      </c>
      <c r="G60" s="15">
        <f t="shared" si="22"/>
        <v>210.42</v>
      </c>
      <c r="H60" s="15">
        <f t="shared" si="23"/>
        <v>61.38</v>
      </c>
    </row>
    <row r="61" spans="1:17" x14ac:dyDescent="0.3">
      <c r="A61" s="20">
        <v>57500</v>
      </c>
      <c r="B61" s="15">
        <f t="shared" si="17"/>
        <v>33.72</v>
      </c>
      <c r="C61" s="15">
        <f t="shared" si="18"/>
        <v>324.50599999999997</v>
      </c>
      <c r="D61" s="15">
        <f t="shared" si="19"/>
        <v>452.18</v>
      </c>
      <c r="E61" s="15">
        <f t="shared" si="20"/>
        <v>442.33</v>
      </c>
      <c r="F61" s="15">
        <f t="shared" si="21"/>
        <v>289.548</v>
      </c>
      <c r="G61" s="15">
        <f t="shared" si="22"/>
        <v>219.43799999999999</v>
      </c>
      <c r="H61" s="15">
        <f t="shared" si="23"/>
        <v>40.92</v>
      </c>
    </row>
    <row r="62" spans="1:17" x14ac:dyDescent="0.3">
      <c r="A62" s="20">
        <v>62500</v>
      </c>
      <c r="B62" s="15">
        <f t="shared" si="17"/>
        <v>35.968000000000004</v>
      </c>
      <c r="C62" s="15">
        <f t="shared" si="18"/>
        <v>285.27999999999997</v>
      </c>
      <c r="D62" s="15">
        <f t="shared" si="19"/>
        <v>368.625</v>
      </c>
      <c r="E62" s="15">
        <f t="shared" si="20"/>
        <v>357.84</v>
      </c>
      <c r="F62" s="15">
        <f t="shared" si="21"/>
        <v>217.16099999999997</v>
      </c>
      <c r="G62" s="15">
        <f t="shared" si="22"/>
        <v>111.22200000000001</v>
      </c>
      <c r="H62" s="15">
        <f t="shared" si="23"/>
        <v>34.1</v>
      </c>
    </row>
    <row r="63" spans="1:17" x14ac:dyDescent="0.3">
      <c r="A63" s="20">
        <v>67500</v>
      </c>
      <c r="B63" s="15">
        <f t="shared" si="17"/>
        <v>46.646000000000001</v>
      </c>
      <c r="C63" s="15">
        <f t="shared" si="18"/>
        <v>288.846</v>
      </c>
      <c r="D63" s="15">
        <f t="shared" si="19"/>
        <v>373.54</v>
      </c>
      <c r="E63" s="15">
        <f t="shared" si="20"/>
        <v>323.05</v>
      </c>
      <c r="F63" s="15">
        <f t="shared" si="21"/>
        <v>172.35</v>
      </c>
      <c r="G63" s="15">
        <f t="shared" si="22"/>
        <v>123.24599999999998</v>
      </c>
      <c r="H63" s="15">
        <f t="shared" si="23"/>
        <v>22.164999999999999</v>
      </c>
    </row>
    <row r="64" spans="1:17" x14ac:dyDescent="0.3">
      <c r="A64" s="20">
        <v>75000</v>
      </c>
      <c r="B64" s="15">
        <f t="shared" si="17"/>
        <v>68.563999999999993</v>
      </c>
      <c r="C64" s="15">
        <f t="shared" si="18"/>
        <v>406.524</v>
      </c>
      <c r="D64" s="15">
        <f t="shared" si="19"/>
        <v>540.65</v>
      </c>
      <c r="E64" s="15">
        <f t="shared" si="20"/>
        <v>467.18</v>
      </c>
      <c r="F64" s="15">
        <f t="shared" si="21"/>
        <v>251.63099999999997</v>
      </c>
      <c r="G64" s="15">
        <f t="shared" si="22"/>
        <v>183.36599999999999</v>
      </c>
      <c r="H64" s="15">
        <f t="shared" si="23"/>
        <v>30.69</v>
      </c>
    </row>
    <row r="65" spans="1:9" x14ac:dyDescent="0.3">
      <c r="A65" s="20">
        <v>85000</v>
      </c>
      <c r="B65" s="15">
        <f t="shared" si="17"/>
        <v>71.373999999999995</v>
      </c>
      <c r="C65" s="15">
        <f t="shared" si="18"/>
        <v>320.94</v>
      </c>
      <c r="D65" s="15">
        <f t="shared" si="19"/>
        <v>339.13499999999999</v>
      </c>
      <c r="E65" s="15">
        <f t="shared" si="20"/>
        <v>293.23</v>
      </c>
      <c r="F65" s="15">
        <f t="shared" si="21"/>
        <v>199.92599999999999</v>
      </c>
      <c r="G65" s="15">
        <f t="shared" si="22"/>
        <v>102.20399999999999</v>
      </c>
      <c r="H65" s="15">
        <f t="shared" si="23"/>
        <v>15.345000000000001</v>
      </c>
    </row>
    <row r="66" spans="1:9" x14ac:dyDescent="0.3">
      <c r="A66" s="20">
        <v>95000</v>
      </c>
      <c r="B66" s="15">
        <f t="shared" si="17"/>
        <v>41.025999999999996</v>
      </c>
      <c r="C66" s="15">
        <f t="shared" si="18"/>
        <v>238.922</v>
      </c>
      <c r="D66" s="15">
        <f t="shared" si="19"/>
        <v>270.32499999999999</v>
      </c>
      <c r="E66" s="15">
        <f t="shared" si="20"/>
        <v>218.68</v>
      </c>
      <c r="F66" s="15">
        <f t="shared" si="21"/>
        <v>106.85700000000001</v>
      </c>
      <c r="G66" s="15">
        <f t="shared" si="22"/>
        <v>78.156000000000006</v>
      </c>
      <c r="H66" s="15">
        <f t="shared" si="23"/>
        <v>15.345000000000001</v>
      </c>
    </row>
    <row r="67" spans="1:9" x14ac:dyDescent="0.3">
      <c r="A67" s="20">
        <v>110000</v>
      </c>
      <c r="B67" s="15">
        <f t="shared" si="17"/>
        <v>75.308000000000007</v>
      </c>
      <c r="C67" s="15">
        <f t="shared" si="18"/>
        <v>285.27999999999997</v>
      </c>
      <c r="D67" s="15">
        <f t="shared" si="19"/>
        <v>309.64499999999998</v>
      </c>
      <c r="E67" s="15">
        <f t="shared" si="20"/>
        <v>288.26</v>
      </c>
      <c r="F67" s="15">
        <f t="shared" si="21"/>
        <v>137.88</v>
      </c>
      <c r="G67" s="15">
        <f t="shared" si="22"/>
        <v>87.173999999999992</v>
      </c>
      <c r="H67" s="15">
        <f t="shared" si="23"/>
        <v>13.64</v>
      </c>
    </row>
    <row r="68" spans="1:9" x14ac:dyDescent="0.3">
      <c r="A68" s="20">
        <v>130000</v>
      </c>
      <c r="B68" s="15">
        <f t="shared" si="17"/>
        <v>44.96</v>
      </c>
      <c r="C68" s="15">
        <f t="shared" si="18"/>
        <v>167.602</v>
      </c>
      <c r="D68" s="15">
        <f t="shared" si="19"/>
        <v>211.345</v>
      </c>
      <c r="E68" s="15">
        <f t="shared" si="20"/>
        <v>168.98</v>
      </c>
      <c r="F68" s="15">
        <f t="shared" si="21"/>
        <v>110.30400000000002</v>
      </c>
      <c r="G68" s="15">
        <f t="shared" si="22"/>
        <v>93.186000000000007</v>
      </c>
      <c r="H68" s="15">
        <f t="shared" si="23"/>
        <v>11.935</v>
      </c>
    </row>
    <row r="69" spans="1:9" x14ac:dyDescent="0.3">
      <c r="A69" s="20">
        <v>175000</v>
      </c>
      <c r="B69" s="15">
        <f t="shared" si="17"/>
        <v>13.488</v>
      </c>
      <c r="C69" s="15">
        <f t="shared" si="18"/>
        <v>103.414</v>
      </c>
      <c r="D69" s="15">
        <f t="shared" si="19"/>
        <v>157.28</v>
      </c>
      <c r="E69" s="15">
        <f t="shared" si="20"/>
        <v>109.34</v>
      </c>
      <c r="F69" s="15">
        <f t="shared" si="21"/>
        <v>55.152000000000008</v>
      </c>
      <c r="G69" s="15">
        <f t="shared" si="22"/>
        <v>42.083999999999996</v>
      </c>
      <c r="H69" s="15">
        <f t="shared" si="23"/>
        <v>10.23</v>
      </c>
    </row>
    <row r="70" spans="1:9" x14ac:dyDescent="0.3">
      <c r="A70" s="20">
        <v>300000</v>
      </c>
      <c r="B70" s="15">
        <f t="shared" si="17"/>
        <v>10.677999999999999</v>
      </c>
      <c r="C70" s="15">
        <f t="shared" si="18"/>
        <v>78.452000000000012</v>
      </c>
      <c r="D70" s="15">
        <f t="shared" si="19"/>
        <v>93.385000000000005</v>
      </c>
      <c r="E70" s="15">
        <f t="shared" si="20"/>
        <v>119.28</v>
      </c>
      <c r="F70" s="15">
        <f t="shared" si="21"/>
        <v>62.046000000000006</v>
      </c>
      <c r="G70" s="15">
        <f t="shared" si="22"/>
        <v>57.113999999999997</v>
      </c>
      <c r="H70" s="15">
        <f t="shared" si="23"/>
        <v>17.05</v>
      </c>
    </row>
    <row r="71" spans="1:9" x14ac:dyDescent="0.3">
      <c r="A71" s="20" t="s">
        <v>332</v>
      </c>
      <c r="B71" s="15">
        <f>SUM(B52:B70)</f>
        <v>560.31399999999996</v>
      </c>
      <c r="C71" s="15">
        <f t="shared" ref="C71:H71" si="24">SUM(C52:C70)</f>
        <v>3562.4340000000007</v>
      </c>
      <c r="D71" s="15">
        <f t="shared" si="24"/>
        <v>4924.83</v>
      </c>
      <c r="E71" s="15">
        <f t="shared" si="24"/>
        <v>4970</v>
      </c>
      <c r="F71" s="15">
        <f t="shared" si="24"/>
        <v>3433.2119999999995</v>
      </c>
      <c r="G71" s="15">
        <f t="shared" si="24"/>
        <v>3006.0000000000005</v>
      </c>
      <c r="H71" s="15">
        <f t="shared" si="24"/>
        <v>1701.5900000000001</v>
      </c>
      <c r="I71" s="21">
        <f>SUM(B71:H71)</f>
        <v>22158.38</v>
      </c>
    </row>
    <row r="72" spans="1:9" x14ac:dyDescent="0.3">
      <c r="A72" s="24" t="s">
        <v>333</v>
      </c>
      <c r="B72" s="23">
        <f>PEARSON(A52:A70,B52:B70)</f>
        <v>0.16664083329900015</v>
      </c>
      <c r="C72" s="23">
        <f>PEARSON(A52:A70,C52:C70)</f>
        <v>5.2850921993305794E-2</v>
      </c>
      <c r="D72" s="23">
        <f>PEARSON($A$52:$A$70,D52:D70)</f>
        <v>-4.2021862768644766E-2</v>
      </c>
      <c r="E72" s="23">
        <f t="shared" ref="E72:H72" si="25">PEARSON($A$52:$A$70,E52:E70)</f>
        <v>-0.12844522797967053</v>
      </c>
      <c r="F72" s="23">
        <f t="shared" si="25"/>
        <v>-0.27220962594343301</v>
      </c>
      <c r="G72" s="23">
        <f t="shared" si="25"/>
        <v>-0.41194038890432316</v>
      </c>
      <c r="H72" s="23">
        <f t="shared" si="25"/>
        <v>-0.51838548884731317</v>
      </c>
    </row>
    <row r="74" spans="1:9" x14ac:dyDescent="0.3">
      <c r="A74" t="s">
        <v>334</v>
      </c>
      <c r="B74">
        <f>B72*SQRT(B71-2)/SQRT(1-(B72^2))</f>
        <v>3.9933372822019262</v>
      </c>
      <c r="C74">
        <f t="shared" ref="C74:H74" si="26">C72*SQRT(C71-2)/SQRT(1-(C72^2))</f>
        <v>3.1579949163301038</v>
      </c>
      <c r="D74">
        <f t="shared" si="26"/>
        <v>-2.950981623121987</v>
      </c>
      <c r="E74">
        <f t="shared" si="26"/>
        <v>-9.1289574487717875</v>
      </c>
      <c r="F74">
        <f t="shared" si="26"/>
        <v>-16.570849103467197</v>
      </c>
      <c r="G74">
        <f t="shared" si="26"/>
        <v>-24.777956256487823</v>
      </c>
      <c r="H74">
        <f t="shared" si="26"/>
        <v>-24.991027661017121</v>
      </c>
    </row>
    <row r="75" spans="1:9" x14ac:dyDescent="0.3">
      <c r="A75" t="s">
        <v>335</v>
      </c>
      <c r="B75">
        <f>_xlfn.T.DIST.2T(ABS(B74),B71-2)</f>
        <v>7.3868812104202792E-5</v>
      </c>
      <c r="C75">
        <f t="shared" ref="C75:H75" si="27">_xlfn.T.DIST.2T(ABS(C74),C71-2)</f>
        <v>1.6018755745962434E-3</v>
      </c>
      <c r="D75">
        <f t="shared" si="27"/>
        <v>3.1825992379098094E-3</v>
      </c>
      <c r="E75">
        <f t="shared" si="27"/>
        <v>9.8530066982412752E-20</v>
      </c>
      <c r="F75">
        <f t="shared" si="27"/>
        <v>2.1703777797600691E-59</v>
      </c>
      <c r="G75">
        <f t="shared" si="27"/>
        <v>1.7480818135410239E-123</v>
      </c>
      <c r="H75">
        <f t="shared" si="27"/>
        <v>1.1865324722542572E-117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42CEBE-BF96-4479-800A-58A6F693D1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HH-gender-T1-16</vt:lpstr>
      <vt:lpstr>Level of education T-124</vt:lpstr>
      <vt:lpstr>Household Size T-10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Mohamed</dc:creator>
  <cp:lastModifiedBy>Mohamed Ashour</cp:lastModifiedBy>
  <dcterms:created xsi:type="dcterms:W3CDTF">2023-05-19T13:15:42Z</dcterms:created>
  <dcterms:modified xsi:type="dcterms:W3CDTF">2023-05-24T20:16:50Z</dcterms:modified>
</cp:coreProperties>
</file>